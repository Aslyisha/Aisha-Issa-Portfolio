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 XPS 13 SZ\Desktop\"/>
    </mc:Choice>
  </mc:AlternateContent>
  <xr:revisionPtr revIDLastSave="0" documentId="13_ncr:1_{1A816755-9F65-4EF4-B90C-295D70A2A001}" xr6:coauthVersionLast="47" xr6:coauthVersionMax="47" xr10:uidLastSave="{00000000-0000-0000-0000-000000000000}"/>
  <bookViews>
    <workbookView xWindow="-110" yWindow="-110" windowWidth="19420" windowHeight="10420" tabRatio="884" xr2:uid="{00000000-000D-0000-FFFF-FFFF00000000}"/>
  </bookViews>
  <sheets>
    <sheet name="Assumptions" sheetId="7" r:id="rId1"/>
    <sheet name="Customer Data" sheetId="2" r:id="rId2"/>
    <sheet name="Monthly Waterfall" sheetId="3" r:id="rId3"/>
    <sheet name="Cohort Analysis" sheetId="4" r:id="rId4"/>
    <sheet name="Revenue Recognition" sheetId="5" r:id="rId5"/>
    <sheet name="Segmentation" sheetId="6" r:id="rId6"/>
    <sheet name="Dashboard" sheetId="1" r:id="rId7"/>
    <sheet name="README" sheetId="8" r:id="rId8"/>
  </sheets>
  <definedNames>
    <definedName name="_xlnm._FilterDatabase" localSheetId="1" hidden="1">'Customer Data'!$A$1:$X$51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" l="1"/>
  <c r="D21" i="1"/>
  <c r="B21" i="1"/>
  <c r="B15" i="3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V8" i="5"/>
  <c r="U8" i="5"/>
  <c r="W8" i="5"/>
  <c r="X8" i="5"/>
  <c r="Y8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B13" i="1"/>
  <c r="U18" i="2"/>
  <c r="B8" i="7"/>
  <c r="B22" i="6"/>
  <c r="B21" i="6"/>
  <c r="B20" i="6"/>
  <c r="B15" i="6"/>
  <c r="B14" i="6"/>
  <c r="D15" i="6" s="1"/>
  <c r="B9" i="6"/>
  <c r="B8" i="6"/>
  <c r="B7" i="6"/>
  <c r="B6" i="6"/>
  <c r="B5" i="6"/>
  <c r="M21" i="3"/>
  <c r="L21" i="3"/>
  <c r="K21" i="3"/>
  <c r="J21" i="3"/>
  <c r="I21" i="3"/>
  <c r="H21" i="3"/>
  <c r="G21" i="3"/>
  <c r="F21" i="3"/>
  <c r="E21" i="3"/>
  <c r="D21" i="3"/>
  <c r="C21" i="3"/>
  <c r="B21" i="3"/>
  <c r="B19" i="3"/>
  <c r="B18" i="3"/>
  <c r="B17" i="3"/>
  <c r="W51" i="2"/>
  <c r="V51" i="2"/>
  <c r="X51" i="2" s="1"/>
  <c r="U51" i="2"/>
  <c r="T51" i="2"/>
  <c r="S51" i="2"/>
  <c r="P51" i="2"/>
  <c r="Q51" i="2" s="1"/>
  <c r="N51" i="2"/>
  <c r="R51" i="2" s="1"/>
  <c r="J51" i="2"/>
  <c r="W50" i="2"/>
  <c r="V50" i="2"/>
  <c r="X50" i="2" s="1"/>
  <c r="U50" i="2"/>
  <c r="T50" i="2"/>
  <c r="S50" i="2"/>
  <c r="P50" i="2"/>
  <c r="Q50" i="2" s="1"/>
  <c r="N50" i="2"/>
  <c r="R50" i="2" s="1"/>
  <c r="J50" i="2"/>
  <c r="W49" i="2"/>
  <c r="V49" i="2"/>
  <c r="X49" i="2" s="1"/>
  <c r="U49" i="2"/>
  <c r="T49" i="2"/>
  <c r="S49" i="2"/>
  <c r="R49" i="2"/>
  <c r="P49" i="2"/>
  <c r="Q49" i="2" s="1"/>
  <c r="N49" i="2"/>
  <c r="J49" i="2"/>
  <c r="W48" i="2"/>
  <c r="V48" i="2"/>
  <c r="U48" i="2"/>
  <c r="T48" i="2"/>
  <c r="S48" i="2"/>
  <c r="P48" i="2"/>
  <c r="Q48" i="2" s="1"/>
  <c r="N48" i="2"/>
  <c r="R48" i="2" s="1"/>
  <c r="J48" i="2"/>
  <c r="V47" i="2"/>
  <c r="X47" i="2" s="1"/>
  <c r="U47" i="2"/>
  <c r="T47" i="2"/>
  <c r="W47" i="2" s="1"/>
  <c r="S47" i="2"/>
  <c r="R47" i="2"/>
  <c r="P47" i="2"/>
  <c r="Q47" i="2" s="1"/>
  <c r="N47" i="2"/>
  <c r="J47" i="2"/>
  <c r="W46" i="2"/>
  <c r="X46" i="2" s="1"/>
  <c r="V46" i="2"/>
  <c r="U46" i="2"/>
  <c r="T46" i="2"/>
  <c r="S46" i="2"/>
  <c r="P46" i="2"/>
  <c r="Q46" i="2" s="1"/>
  <c r="N46" i="2"/>
  <c r="R46" i="2" s="1"/>
  <c r="J46" i="2"/>
  <c r="W45" i="2"/>
  <c r="V45" i="2"/>
  <c r="U45" i="2"/>
  <c r="T45" i="2"/>
  <c r="S45" i="2"/>
  <c r="P45" i="2"/>
  <c r="Q45" i="2" s="1"/>
  <c r="N45" i="2"/>
  <c r="R45" i="2" s="1"/>
  <c r="J45" i="2"/>
  <c r="V44" i="2"/>
  <c r="U44" i="2"/>
  <c r="T44" i="2"/>
  <c r="W44" i="2" s="1"/>
  <c r="S44" i="2"/>
  <c r="P44" i="2"/>
  <c r="Q44" i="2" s="1"/>
  <c r="N44" i="2"/>
  <c r="R44" i="2" s="1"/>
  <c r="J44" i="2"/>
  <c r="W43" i="2"/>
  <c r="V43" i="2"/>
  <c r="U43" i="2"/>
  <c r="T43" i="2"/>
  <c r="S43" i="2"/>
  <c r="P43" i="2"/>
  <c r="Q43" i="2" s="1"/>
  <c r="N43" i="2"/>
  <c r="R43" i="2" s="1"/>
  <c r="J43" i="2"/>
  <c r="W42" i="2"/>
  <c r="V42" i="2"/>
  <c r="U42" i="2"/>
  <c r="T42" i="2"/>
  <c r="S42" i="2"/>
  <c r="P42" i="2"/>
  <c r="Q42" i="2" s="1"/>
  <c r="N42" i="2"/>
  <c r="R42" i="2" s="1"/>
  <c r="J42" i="2"/>
  <c r="X41" i="2"/>
  <c r="W41" i="2"/>
  <c r="V41" i="2"/>
  <c r="U41" i="2"/>
  <c r="T41" i="2"/>
  <c r="S41" i="2"/>
  <c r="P41" i="2"/>
  <c r="Q41" i="2" s="1"/>
  <c r="N41" i="2"/>
  <c r="R41" i="2" s="1"/>
  <c r="J41" i="2"/>
  <c r="W40" i="2"/>
  <c r="V40" i="2"/>
  <c r="U40" i="2"/>
  <c r="T40" i="2"/>
  <c r="S40" i="2"/>
  <c r="P40" i="2"/>
  <c r="Q40" i="2" s="1"/>
  <c r="N40" i="2"/>
  <c r="R40" i="2" s="1"/>
  <c r="J40" i="2"/>
  <c r="V39" i="2"/>
  <c r="U39" i="2"/>
  <c r="T39" i="2"/>
  <c r="W39" i="2" s="1"/>
  <c r="S39" i="2"/>
  <c r="P39" i="2"/>
  <c r="Q39" i="2" s="1"/>
  <c r="N39" i="2"/>
  <c r="R39" i="2" s="1"/>
  <c r="J39" i="2"/>
  <c r="W38" i="2"/>
  <c r="X38" i="2" s="1"/>
  <c r="V38" i="2"/>
  <c r="U38" i="2"/>
  <c r="T38" i="2"/>
  <c r="S38" i="2"/>
  <c r="P38" i="2"/>
  <c r="Q38" i="2" s="1"/>
  <c r="N38" i="2"/>
  <c r="R38" i="2" s="1"/>
  <c r="J38" i="2"/>
  <c r="W37" i="2"/>
  <c r="V37" i="2"/>
  <c r="U37" i="2"/>
  <c r="T37" i="2"/>
  <c r="S37" i="2"/>
  <c r="P37" i="2"/>
  <c r="Q37" i="2" s="1"/>
  <c r="N37" i="2"/>
  <c r="R37" i="2" s="1"/>
  <c r="J37" i="2"/>
  <c r="V36" i="2"/>
  <c r="U36" i="2"/>
  <c r="T36" i="2"/>
  <c r="W36" i="2" s="1"/>
  <c r="S36" i="2"/>
  <c r="R36" i="2"/>
  <c r="P36" i="2"/>
  <c r="Q36" i="2" s="1"/>
  <c r="N36" i="2"/>
  <c r="J36" i="2"/>
  <c r="X35" i="2"/>
  <c r="W35" i="2"/>
  <c r="V35" i="2"/>
  <c r="U35" i="2"/>
  <c r="T35" i="2"/>
  <c r="S35" i="2"/>
  <c r="P35" i="2"/>
  <c r="Q35" i="2" s="1"/>
  <c r="N35" i="2"/>
  <c r="R35" i="2" s="1"/>
  <c r="J35" i="2"/>
  <c r="W34" i="2"/>
  <c r="V34" i="2"/>
  <c r="U34" i="2"/>
  <c r="T34" i="2"/>
  <c r="S34" i="2"/>
  <c r="P34" i="2"/>
  <c r="Q34" i="2" s="1"/>
  <c r="N34" i="2"/>
  <c r="R34" i="2" s="1"/>
  <c r="J34" i="2"/>
  <c r="V33" i="2"/>
  <c r="U33" i="2"/>
  <c r="T33" i="2"/>
  <c r="W33" i="2" s="1"/>
  <c r="S33" i="2"/>
  <c r="P33" i="2"/>
  <c r="Q33" i="2" s="1"/>
  <c r="N33" i="2"/>
  <c r="R33" i="2" s="1"/>
  <c r="J33" i="2"/>
  <c r="W32" i="2"/>
  <c r="V32" i="2"/>
  <c r="U32" i="2"/>
  <c r="T32" i="2"/>
  <c r="S32" i="2"/>
  <c r="P32" i="2"/>
  <c r="Q32" i="2" s="1"/>
  <c r="N32" i="2"/>
  <c r="R32" i="2" s="1"/>
  <c r="J32" i="2"/>
  <c r="W31" i="2"/>
  <c r="V31" i="2"/>
  <c r="X31" i="2" s="1"/>
  <c r="U31" i="2"/>
  <c r="T31" i="2"/>
  <c r="S31" i="2"/>
  <c r="R31" i="2"/>
  <c r="P31" i="2"/>
  <c r="Q31" i="2" s="1"/>
  <c r="N31" i="2"/>
  <c r="J31" i="2"/>
  <c r="V30" i="2"/>
  <c r="U30" i="2"/>
  <c r="T30" i="2"/>
  <c r="W30" i="2" s="1"/>
  <c r="S30" i="2"/>
  <c r="P30" i="2"/>
  <c r="Q30" i="2" s="1"/>
  <c r="N30" i="2"/>
  <c r="R30" i="2" s="1"/>
  <c r="J30" i="2"/>
  <c r="V29" i="2"/>
  <c r="U29" i="2"/>
  <c r="T29" i="2"/>
  <c r="W29" i="2" s="1"/>
  <c r="S29" i="2"/>
  <c r="P29" i="2"/>
  <c r="Q29" i="2" s="1"/>
  <c r="N29" i="2"/>
  <c r="R29" i="2" s="1"/>
  <c r="J29" i="2"/>
  <c r="W28" i="2"/>
  <c r="V28" i="2"/>
  <c r="U28" i="2"/>
  <c r="T28" i="2"/>
  <c r="S28" i="2"/>
  <c r="P28" i="2"/>
  <c r="Q28" i="2" s="1"/>
  <c r="N28" i="2"/>
  <c r="R28" i="2" s="1"/>
  <c r="J28" i="2"/>
  <c r="W27" i="2"/>
  <c r="V27" i="2"/>
  <c r="U27" i="2"/>
  <c r="T27" i="2"/>
  <c r="S27" i="2"/>
  <c r="R27" i="2"/>
  <c r="P27" i="2"/>
  <c r="Q27" i="2" s="1"/>
  <c r="N27" i="2"/>
  <c r="J27" i="2"/>
  <c r="W26" i="2"/>
  <c r="V26" i="2"/>
  <c r="U26" i="2"/>
  <c r="T26" i="2"/>
  <c r="S26" i="2"/>
  <c r="P26" i="2"/>
  <c r="Q26" i="2" s="1"/>
  <c r="N26" i="2"/>
  <c r="R26" i="2" s="1"/>
  <c r="J26" i="2"/>
  <c r="W25" i="2"/>
  <c r="V25" i="2"/>
  <c r="U25" i="2"/>
  <c r="T25" i="2"/>
  <c r="S25" i="2"/>
  <c r="P25" i="2"/>
  <c r="Q25" i="2" s="1"/>
  <c r="N25" i="2"/>
  <c r="R25" i="2" s="1"/>
  <c r="J25" i="2"/>
  <c r="W24" i="2"/>
  <c r="V24" i="2"/>
  <c r="U24" i="2"/>
  <c r="T24" i="2"/>
  <c r="S24" i="2"/>
  <c r="P24" i="2"/>
  <c r="Q24" i="2" s="1"/>
  <c r="N24" i="2"/>
  <c r="R24" i="2" s="1"/>
  <c r="J24" i="2"/>
  <c r="W23" i="2"/>
  <c r="V23" i="2"/>
  <c r="X23" i="2" s="1"/>
  <c r="U23" i="2"/>
  <c r="T23" i="2"/>
  <c r="S23" i="2"/>
  <c r="R23" i="2"/>
  <c r="P23" i="2"/>
  <c r="Q23" i="2" s="1"/>
  <c r="N23" i="2"/>
  <c r="J23" i="2"/>
  <c r="W22" i="2"/>
  <c r="V22" i="2"/>
  <c r="U22" i="2"/>
  <c r="T22" i="2"/>
  <c r="S22" i="2"/>
  <c r="P22" i="2"/>
  <c r="Q22" i="2" s="1"/>
  <c r="N22" i="2"/>
  <c r="R22" i="2" s="1"/>
  <c r="J22" i="2"/>
  <c r="W21" i="2"/>
  <c r="X21" i="2" s="1"/>
  <c r="V21" i="2"/>
  <c r="U21" i="2"/>
  <c r="T21" i="2"/>
  <c r="S21" i="2"/>
  <c r="P21" i="2"/>
  <c r="Q21" i="2" s="1"/>
  <c r="N21" i="2"/>
  <c r="R21" i="2" s="1"/>
  <c r="J21" i="2"/>
  <c r="W20" i="2"/>
  <c r="V20" i="2"/>
  <c r="U20" i="2"/>
  <c r="T20" i="2"/>
  <c r="S20" i="2"/>
  <c r="P20" i="2"/>
  <c r="Q20" i="2" s="1"/>
  <c r="N20" i="2"/>
  <c r="R20" i="2" s="1"/>
  <c r="J20" i="2"/>
  <c r="V19" i="2"/>
  <c r="U19" i="2"/>
  <c r="T19" i="2"/>
  <c r="W19" i="2" s="1"/>
  <c r="S19" i="2"/>
  <c r="P19" i="2"/>
  <c r="Q19" i="2" s="1"/>
  <c r="N19" i="2"/>
  <c r="R19" i="2" s="1"/>
  <c r="J19" i="2"/>
  <c r="W18" i="2"/>
  <c r="V18" i="2"/>
  <c r="T18" i="2"/>
  <c r="S18" i="2"/>
  <c r="P18" i="2"/>
  <c r="Q18" i="2" s="1"/>
  <c r="N18" i="2"/>
  <c r="R18" i="2" s="1"/>
  <c r="J18" i="2"/>
  <c r="V17" i="2"/>
  <c r="X17" i="2" s="1"/>
  <c r="U17" i="2"/>
  <c r="T17" i="2"/>
  <c r="W17" i="2" s="1"/>
  <c r="S17" i="2"/>
  <c r="P17" i="2"/>
  <c r="Q17" i="2" s="1"/>
  <c r="N17" i="2"/>
  <c r="R17" i="2" s="1"/>
  <c r="J17" i="2"/>
  <c r="W16" i="2"/>
  <c r="V16" i="2"/>
  <c r="X16" i="2" s="1"/>
  <c r="U16" i="2"/>
  <c r="T16" i="2"/>
  <c r="S16" i="2"/>
  <c r="R16" i="2"/>
  <c r="P16" i="2"/>
  <c r="Q16" i="2" s="1"/>
  <c r="N16" i="2"/>
  <c r="J16" i="2"/>
  <c r="V15" i="2"/>
  <c r="U15" i="2"/>
  <c r="T15" i="2"/>
  <c r="W15" i="2" s="1"/>
  <c r="S15" i="2"/>
  <c r="R15" i="2"/>
  <c r="P15" i="2"/>
  <c r="Q15" i="2" s="1"/>
  <c r="N15" i="2"/>
  <c r="J15" i="2"/>
  <c r="W14" i="2"/>
  <c r="V14" i="2"/>
  <c r="U14" i="2"/>
  <c r="T14" i="2"/>
  <c r="S14" i="2"/>
  <c r="P14" i="2"/>
  <c r="Q14" i="2" s="1"/>
  <c r="N14" i="2"/>
  <c r="R14" i="2" s="1"/>
  <c r="J14" i="2"/>
  <c r="W13" i="2"/>
  <c r="X13" i="2" s="1"/>
  <c r="V13" i="2"/>
  <c r="U13" i="2"/>
  <c r="T13" i="2"/>
  <c r="S13" i="2"/>
  <c r="P13" i="2"/>
  <c r="Q13" i="2" s="1"/>
  <c r="N13" i="2"/>
  <c r="R13" i="2" s="1"/>
  <c r="J13" i="2"/>
  <c r="W12" i="2"/>
  <c r="V12" i="2"/>
  <c r="U12" i="2"/>
  <c r="T12" i="2"/>
  <c r="S12" i="2"/>
  <c r="P12" i="2"/>
  <c r="Q12" i="2" s="1"/>
  <c r="N12" i="2"/>
  <c r="R12" i="2" s="1"/>
  <c r="J12" i="2"/>
  <c r="W11" i="2"/>
  <c r="V11" i="2"/>
  <c r="U11" i="2"/>
  <c r="T11" i="2"/>
  <c r="S11" i="2"/>
  <c r="P11" i="2"/>
  <c r="N11" i="2"/>
  <c r="R11" i="2" s="1"/>
  <c r="J11" i="2"/>
  <c r="W10" i="2"/>
  <c r="V10" i="2"/>
  <c r="U10" i="2"/>
  <c r="T10" i="2"/>
  <c r="S10" i="2"/>
  <c r="P10" i="2"/>
  <c r="N10" i="2"/>
  <c r="R10" i="2" s="1"/>
  <c r="J10" i="2"/>
  <c r="W9" i="2"/>
  <c r="V9" i="2"/>
  <c r="U9" i="2"/>
  <c r="T9" i="2"/>
  <c r="S9" i="2"/>
  <c r="P9" i="2"/>
  <c r="N9" i="2"/>
  <c r="R9" i="2" s="1"/>
  <c r="J9" i="2"/>
  <c r="W8" i="2"/>
  <c r="V8" i="2"/>
  <c r="U8" i="2"/>
  <c r="T8" i="2"/>
  <c r="S8" i="2"/>
  <c r="P8" i="2"/>
  <c r="Q8" i="2" s="1"/>
  <c r="N8" i="2"/>
  <c r="R8" i="2" s="1"/>
  <c r="J8" i="2"/>
  <c r="W7" i="2"/>
  <c r="V7" i="2"/>
  <c r="X7" i="2" s="1"/>
  <c r="U7" i="2"/>
  <c r="T7" i="2"/>
  <c r="S7" i="2"/>
  <c r="P7" i="2"/>
  <c r="Q7" i="2" s="1"/>
  <c r="N7" i="2"/>
  <c r="R7" i="2" s="1"/>
  <c r="J7" i="2"/>
  <c r="W6" i="2"/>
  <c r="V6" i="2"/>
  <c r="X6" i="2" s="1"/>
  <c r="U6" i="2"/>
  <c r="T6" i="2"/>
  <c r="S6" i="2"/>
  <c r="P6" i="2"/>
  <c r="Q6" i="2" s="1"/>
  <c r="N6" i="2"/>
  <c r="R6" i="2" s="1"/>
  <c r="J6" i="2"/>
  <c r="V5" i="2"/>
  <c r="U5" i="2"/>
  <c r="T5" i="2"/>
  <c r="S5" i="2"/>
  <c r="P5" i="2"/>
  <c r="N5" i="2"/>
  <c r="J5" i="2"/>
  <c r="W4" i="2"/>
  <c r="V4" i="2"/>
  <c r="U4" i="2"/>
  <c r="T4" i="2"/>
  <c r="S4" i="2"/>
  <c r="P4" i="2"/>
  <c r="Q4" i="2" s="1"/>
  <c r="N4" i="2"/>
  <c r="J4" i="2"/>
  <c r="W3" i="2"/>
  <c r="V3" i="2"/>
  <c r="U3" i="2"/>
  <c r="T3" i="2"/>
  <c r="S3" i="2"/>
  <c r="P3" i="2"/>
  <c r="N3" i="2"/>
  <c r="J3" i="2"/>
  <c r="W2" i="2"/>
  <c r="V2" i="2"/>
  <c r="U2" i="2"/>
  <c r="T2" i="2"/>
  <c r="S2" i="2"/>
  <c r="P2" i="2"/>
  <c r="Q2" i="2" s="1"/>
  <c r="N2" i="2"/>
  <c r="R2" i="2" s="1"/>
  <c r="J2" i="2"/>
  <c r="B5" i="1"/>
  <c r="D8" i="6" l="1"/>
  <c r="X14" i="2"/>
  <c r="X25" i="2"/>
  <c r="X19" i="2"/>
  <c r="X3" i="2"/>
  <c r="X10" i="2"/>
  <c r="X11" i="2"/>
  <c r="X12" i="2"/>
  <c r="X34" i="2"/>
  <c r="X37" i="2"/>
  <c r="X39" i="2"/>
  <c r="X42" i="2"/>
  <c r="X36" i="2"/>
  <c r="X18" i="2"/>
  <c r="X20" i="2"/>
  <c r="X24" i="2"/>
  <c r="X33" i="2"/>
  <c r="X43" i="2"/>
  <c r="D14" i="6"/>
  <c r="X15" i="2"/>
  <c r="F11" i="5" s="1"/>
  <c r="X30" i="2"/>
  <c r="X44" i="2"/>
  <c r="C15" i="6"/>
  <c r="X9" i="2"/>
  <c r="X22" i="2"/>
  <c r="X26" i="2"/>
  <c r="X27" i="2"/>
  <c r="X45" i="2"/>
  <c r="D11" i="5" s="1"/>
  <c r="D5" i="1"/>
  <c r="C6" i="6"/>
  <c r="I11" i="4"/>
  <c r="I10" i="4"/>
  <c r="I9" i="4"/>
  <c r="I8" i="4"/>
  <c r="I7" i="4"/>
  <c r="I6" i="4"/>
  <c r="H10" i="4"/>
  <c r="C10" i="4"/>
  <c r="H8" i="4"/>
  <c r="C8" i="4"/>
  <c r="H6" i="4"/>
  <c r="C6" i="4"/>
  <c r="H4" i="4"/>
  <c r="C4" i="4"/>
  <c r="B10" i="4"/>
  <c r="B8" i="4"/>
  <c r="B6" i="4"/>
  <c r="B4" i="4"/>
  <c r="B9" i="4"/>
  <c r="B5" i="4"/>
  <c r="C11" i="4"/>
  <c r="H9" i="4"/>
  <c r="C7" i="4"/>
  <c r="H5" i="4"/>
  <c r="B11" i="4"/>
  <c r="B7" i="4"/>
  <c r="H11" i="4"/>
  <c r="C9" i="4"/>
  <c r="H7" i="4"/>
  <c r="C5" i="4"/>
  <c r="J13" i="3"/>
  <c r="F13" i="3"/>
  <c r="B13" i="3"/>
  <c r="M7" i="3"/>
  <c r="I7" i="3"/>
  <c r="E7" i="3"/>
  <c r="M13" i="3"/>
  <c r="I13" i="3"/>
  <c r="E13" i="3"/>
  <c r="L7" i="3"/>
  <c r="H7" i="3"/>
  <c r="D7" i="3"/>
  <c r="G13" i="3"/>
  <c r="J7" i="3"/>
  <c r="B7" i="3"/>
  <c r="L13" i="3"/>
  <c r="D13" i="3"/>
  <c r="G7" i="3"/>
  <c r="K13" i="3"/>
  <c r="C13" i="3"/>
  <c r="F7" i="3"/>
  <c r="H13" i="3"/>
  <c r="K7" i="3"/>
  <c r="C7" i="3"/>
  <c r="X2" i="2"/>
  <c r="C9" i="6"/>
  <c r="C22" i="6"/>
  <c r="Q3" i="2"/>
  <c r="R5" i="2"/>
  <c r="Q11" i="2"/>
  <c r="X29" i="2"/>
  <c r="C11" i="5" s="1"/>
  <c r="X32" i="2"/>
  <c r="J12" i="3"/>
  <c r="F12" i="3"/>
  <c r="B12" i="3"/>
  <c r="M12" i="3"/>
  <c r="I12" i="3"/>
  <c r="E12" i="3"/>
  <c r="K12" i="3"/>
  <c r="C12" i="3"/>
  <c r="H12" i="3"/>
  <c r="G12" i="3"/>
  <c r="L12" i="3"/>
  <c r="D12" i="3"/>
  <c r="D9" i="6"/>
  <c r="D22" i="6"/>
  <c r="D7" i="6"/>
  <c r="C14" i="6"/>
  <c r="R3" i="2"/>
  <c r="I5" i="4" s="1"/>
  <c r="D6" i="6"/>
  <c r="R4" i="2"/>
  <c r="I4" i="4" s="1"/>
  <c r="W5" i="2"/>
  <c r="X5" i="2" s="1"/>
  <c r="X8" i="2"/>
  <c r="N6" i="5" s="1"/>
  <c r="N10" i="5" s="1"/>
  <c r="C5" i="6"/>
  <c r="Q9" i="2"/>
  <c r="C7" i="6"/>
  <c r="C21" i="6"/>
  <c r="Y5" i="5"/>
  <c r="U5" i="5"/>
  <c r="Q5" i="5"/>
  <c r="M5" i="5"/>
  <c r="I5" i="5"/>
  <c r="E5" i="5"/>
  <c r="X5" i="5"/>
  <c r="S5" i="5"/>
  <c r="N5" i="5"/>
  <c r="H5" i="5"/>
  <c r="C5" i="5"/>
  <c r="J11" i="3"/>
  <c r="F11" i="3"/>
  <c r="B11" i="3"/>
  <c r="M6" i="3"/>
  <c r="M22" i="3" s="1"/>
  <c r="I6" i="3"/>
  <c r="I22" i="3" s="1"/>
  <c r="E6" i="3"/>
  <c r="E22" i="3" s="1"/>
  <c r="W5" i="5"/>
  <c r="R5" i="5"/>
  <c r="L5" i="5"/>
  <c r="G5" i="5"/>
  <c r="B5" i="5"/>
  <c r="M11" i="3"/>
  <c r="I11" i="3"/>
  <c r="E11" i="3"/>
  <c r="L6" i="3"/>
  <c r="L22" i="3" s="1"/>
  <c r="H6" i="3"/>
  <c r="H22" i="3" s="1"/>
  <c r="D6" i="3"/>
  <c r="D22" i="3" s="1"/>
  <c r="X4" i="2"/>
  <c r="C8" i="6"/>
  <c r="Q5" i="2"/>
  <c r="D5" i="6"/>
  <c r="Q10" i="2"/>
  <c r="X28" i="2"/>
  <c r="G6" i="3"/>
  <c r="G22" i="3" s="1"/>
  <c r="H11" i="3"/>
  <c r="K5" i="5"/>
  <c r="V5" i="5"/>
  <c r="B6" i="3"/>
  <c r="J6" i="3"/>
  <c r="J22" i="3" s="1"/>
  <c r="C11" i="3"/>
  <c r="K11" i="3"/>
  <c r="D5" i="5"/>
  <c r="O5" i="5"/>
  <c r="B6" i="5"/>
  <c r="B10" i="5" s="1"/>
  <c r="X40" i="2"/>
  <c r="C6" i="3"/>
  <c r="C22" i="3" s="1"/>
  <c r="K6" i="3"/>
  <c r="K22" i="3" s="1"/>
  <c r="D11" i="3"/>
  <c r="L11" i="3"/>
  <c r="F5" i="5"/>
  <c r="P5" i="5"/>
  <c r="X48" i="2"/>
  <c r="F6" i="3"/>
  <c r="F22" i="3" s="1"/>
  <c r="G11" i="3"/>
  <c r="G14" i="3" s="1"/>
  <c r="J5" i="5"/>
  <c r="T5" i="5"/>
  <c r="D20" i="6"/>
  <c r="D21" i="6"/>
  <c r="C20" i="6"/>
  <c r="R6" i="5" l="1"/>
  <c r="R10" i="5" s="1"/>
  <c r="M6" i="5"/>
  <c r="M10" i="5" s="1"/>
  <c r="B11" i="5"/>
  <c r="E7" i="5"/>
  <c r="E12" i="5" s="1"/>
  <c r="D14" i="3"/>
  <c r="C14" i="3"/>
  <c r="F7" i="5"/>
  <c r="F12" i="5" s="1"/>
  <c r="Q11" i="5"/>
  <c r="I11" i="5"/>
  <c r="J11" i="5"/>
  <c r="N11" i="5"/>
  <c r="P11" i="5"/>
  <c r="U11" i="5"/>
  <c r="L11" i="5"/>
  <c r="O11" i="5"/>
  <c r="S11" i="5"/>
  <c r="Y11" i="5"/>
  <c r="K11" i="5"/>
  <c r="V7" i="5"/>
  <c r="V12" i="5" s="1"/>
  <c r="O6" i="5"/>
  <c r="O10" i="5" s="1"/>
  <c r="U7" i="5"/>
  <c r="U12" i="5" s="1"/>
  <c r="V6" i="5"/>
  <c r="V10" i="5" s="1"/>
  <c r="Y6" i="5"/>
  <c r="Y10" i="5" s="1"/>
  <c r="G11" i="5"/>
  <c r="E11" i="5"/>
  <c r="Q7" i="5"/>
  <c r="Q12" i="5" s="1"/>
  <c r="F6" i="5"/>
  <c r="F10" i="5" s="1"/>
  <c r="I6" i="5"/>
  <c r="I10" i="5" s="1"/>
  <c r="X6" i="5"/>
  <c r="X10" i="5" s="1"/>
  <c r="L14" i="3"/>
  <c r="H6" i="5"/>
  <c r="H10" i="5" s="1"/>
  <c r="M14" i="3"/>
  <c r="L6" i="5"/>
  <c r="L10" i="5" s="1"/>
  <c r="G7" i="5"/>
  <c r="G12" i="5" s="1"/>
  <c r="N7" i="5"/>
  <c r="N12" i="5" s="1"/>
  <c r="F9" i="1"/>
  <c r="E11" i="4"/>
  <c r="F11" i="4"/>
  <c r="D11" i="4"/>
  <c r="G11" i="4"/>
  <c r="E6" i="4"/>
  <c r="G6" i="4"/>
  <c r="D6" i="4"/>
  <c r="F6" i="4"/>
  <c r="B14" i="3"/>
  <c r="B9" i="1"/>
  <c r="I7" i="5"/>
  <c r="I12" i="5" s="1"/>
  <c r="E5" i="4"/>
  <c r="F5" i="4"/>
  <c r="D5" i="4"/>
  <c r="G5" i="4"/>
  <c r="C6" i="5"/>
  <c r="C10" i="5" s="1"/>
  <c r="W6" i="5"/>
  <c r="W10" i="5" s="1"/>
  <c r="B22" i="3"/>
  <c r="B8" i="3"/>
  <c r="C5" i="3" s="1"/>
  <c r="F13" i="1"/>
  <c r="E14" i="3"/>
  <c r="D6" i="5"/>
  <c r="D10" i="5" s="1"/>
  <c r="F14" i="3"/>
  <c r="K6" i="5"/>
  <c r="K10" i="5" s="1"/>
  <c r="Q6" i="5"/>
  <c r="Q10" i="5" s="1"/>
  <c r="K7" i="5"/>
  <c r="K12" i="5" s="1"/>
  <c r="D7" i="5"/>
  <c r="D12" i="5" s="1"/>
  <c r="R7" i="5"/>
  <c r="R12" i="5" s="1"/>
  <c r="C7" i="5"/>
  <c r="C12" i="5" s="1"/>
  <c r="T7" i="5"/>
  <c r="T12" i="5" s="1"/>
  <c r="M7" i="5"/>
  <c r="M12" i="5" s="1"/>
  <c r="R11" i="5"/>
  <c r="T11" i="5"/>
  <c r="M11" i="5"/>
  <c r="E9" i="4"/>
  <c r="F9" i="4"/>
  <c r="D9" i="4"/>
  <c r="G9" i="4"/>
  <c r="E10" i="4"/>
  <c r="G10" i="4"/>
  <c r="D10" i="4"/>
  <c r="F10" i="4"/>
  <c r="T6" i="5"/>
  <c r="T10" i="5" s="1"/>
  <c r="P7" i="5"/>
  <c r="P12" i="5" s="1"/>
  <c r="L7" i="5"/>
  <c r="L12" i="5" s="1"/>
  <c r="S7" i="5"/>
  <c r="S12" i="5" s="1"/>
  <c r="Y7" i="5"/>
  <c r="Y12" i="5" s="1"/>
  <c r="E8" i="4"/>
  <c r="G8" i="4"/>
  <c r="F8" i="4"/>
  <c r="D8" i="4"/>
  <c r="G6" i="5"/>
  <c r="G10" i="5" s="1"/>
  <c r="K14" i="3"/>
  <c r="S6" i="5"/>
  <c r="S10" i="5" s="1"/>
  <c r="H14" i="3"/>
  <c r="I14" i="3"/>
  <c r="J6" i="5"/>
  <c r="J10" i="5" s="1"/>
  <c r="J14" i="3"/>
  <c r="P6" i="5"/>
  <c r="P10" i="5" s="1"/>
  <c r="E6" i="5"/>
  <c r="E10" i="5" s="1"/>
  <c r="U6" i="5"/>
  <c r="U10" i="5" s="1"/>
  <c r="J7" i="5"/>
  <c r="J12" i="5" s="1"/>
  <c r="W7" i="5"/>
  <c r="W12" i="5" s="1"/>
  <c r="O7" i="5"/>
  <c r="O12" i="5" s="1"/>
  <c r="B7" i="5"/>
  <c r="B12" i="5" s="1"/>
  <c r="D9" i="1"/>
  <c r="H7" i="5"/>
  <c r="H12" i="5" s="1"/>
  <c r="X7" i="5"/>
  <c r="X12" i="5" s="1"/>
  <c r="W11" i="5"/>
  <c r="V11" i="5"/>
  <c r="H11" i="5"/>
  <c r="X11" i="5"/>
  <c r="E7" i="4"/>
  <c r="F7" i="4"/>
  <c r="D7" i="4"/>
  <c r="G7" i="4"/>
  <c r="E4" i="4"/>
  <c r="G4" i="4"/>
  <c r="F4" i="4"/>
  <c r="D4" i="4"/>
  <c r="B15" i="5" l="1"/>
  <c r="C15" i="5" s="1"/>
  <c r="C8" i="3"/>
  <c r="D5" i="3" s="1"/>
  <c r="C17" i="3"/>
  <c r="C10" i="3"/>
  <c r="H9" i="1"/>
  <c r="D15" i="5" l="1"/>
  <c r="E15" i="5" s="1"/>
  <c r="F15" i="5" s="1"/>
  <c r="G15" i="5" s="1"/>
  <c r="H15" i="5" s="1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Y15" i="5" s="1"/>
  <c r="C19" i="3"/>
  <c r="C15" i="3"/>
  <c r="D10" i="3" s="1"/>
  <c r="D8" i="3"/>
  <c r="E5" i="3" s="1"/>
  <c r="D17" i="3"/>
  <c r="C18" i="3" l="1"/>
  <c r="E8" i="3"/>
  <c r="F5" i="3" s="1"/>
  <c r="E17" i="3"/>
  <c r="D15" i="3"/>
  <c r="E10" i="3" s="1"/>
  <c r="D19" i="3"/>
  <c r="D18" i="3" l="1"/>
  <c r="F17" i="3"/>
  <c r="F8" i="3"/>
  <c r="G5" i="3" s="1"/>
  <c r="E19" i="3"/>
  <c r="E15" i="3"/>
  <c r="F10" i="3" s="1"/>
  <c r="F19" i="3" l="1"/>
  <c r="F15" i="3"/>
  <c r="G10" i="3" s="1"/>
  <c r="G17" i="3"/>
  <c r="G8" i="3"/>
  <c r="H5" i="3" s="1"/>
  <c r="E18" i="3"/>
  <c r="F18" i="3" l="1"/>
  <c r="G19" i="3"/>
  <c r="G15" i="3"/>
  <c r="H10" i="3" s="1"/>
  <c r="H8" i="3"/>
  <c r="I5" i="3" s="1"/>
  <c r="H17" i="3"/>
  <c r="G18" i="3" l="1"/>
  <c r="H19" i="3"/>
  <c r="H15" i="3"/>
  <c r="I10" i="3" s="1"/>
  <c r="I8" i="3"/>
  <c r="J5" i="3" s="1"/>
  <c r="I17" i="3"/>
  <c r="H18" i="3" l="1"/>
  <c r="I15" i="3"/>
  <c r="J10" i="3" s="1"/>
  <c r="I19" i="3"/>
  <c r="J17" i="3"/>
  <c r="J8" i="3"/>
  <c r="K5" i="3" s="1"/>
  <c r="J19" i="3" l="1"/>
  <c r="J15" i="3"/>
  <c r="K10" i="3" s="1"/>
  <c r="K17" i="3"/>
  <c r="K8" i="3"/>
  <c r="L5" i="3" s="1"/>
  <c r="I18" i="3"/>
  <c r="K19" i="3" l="1"/>
  <c r="K15" i="3"/>
  <c r="L10" i="3" s="1"/>
  <c r="J18" i="3"/>
  <c r="L17" i="3"/>
  <c r="L8" i="3"/>
  <c r="M5" i="3" s="1"/>
  <c r="K18" i="3" l="1"/>
  <c r="M8" i="3"/>
  <c r="M17" i="3"/>
  <c r="B17" i="1" s="1"/>
  <c r="L19" i="3"/>
  <c r="L15" i="3"/>
  <c r="M10" i="3" s="1"/>
  <c r="M15" i="3" l="1"/>
  <c r="M19" i="3"/>
  <c r="H17" i="1" s="1"/>
  <c r="L18" i="3"/>
  <c r="B9" i="7" l="1"/>
  <c r="B24" i="3"/>
  <c r="F5" i="1"/>
  <c r="M18" i="3"/>
  <c r="H5" i="1" l="1"/>
  <c r="D13" i="1"/>
  <c r="H13" i="1" l="1"/>
  <c r="D17" i="1"/>
  <c r="F1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2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Should equal 0. Confirms the waterfall ending MRR ties to active customer MRR at the report date.</t>
        </r>
      </text>
    </comment>
  </commentList>
</comments>
</file>

<file path=xl/sharedStrings.xml><?xml version="1.0" encoding="utf-8"?>
<sst xmlns="http://schemas.openxmlformats.org/spreadsheetml/2006/main" count="545" uniqueCount="251">
  <si>
    <t>SaaS KPI Dashboard | Portfolio Case: Math of SaaS + Revenue Recognition</t>
  </si>
  <si>
    <t>Purpose</t>
  </si>
  <si>
    <t>Demonstrate automated SaaS KPI modeling from 50 mock subscription customers with clean MRR, CAC, LTV, cohort, and revenue recognition logic.</t>
  </si>
  <si>
    <t>Total Customers</t>
  </si>
  <si>
    <t>Active Customers</t>
  </si>
  <si>
    <t>Current MRR ($)</t>
  </si>
  <si>
    <t>ARR ($)</t>
  </si>
  <si>
    <t>New MRR YTD ($)</t>
  </si>
  <si>
    <t>Expansion MRR YTD ($)</t>
  </si>
  <si>
    <t>Churn MRR YTD ($)</t>
  </si>
  <si>
    <t>Net New MRR YTD ($)</t>
  </si>
  <si>
    <t>Gross Margin %</t>
  </si>
  <si>
    <t>ARPA ($)</t>
  </si>
  <si>
    <t>Avg CAC ($)</t>
  </si>
  <si>
    <t>CAC Payback (Months)</t>
  </si>
  <si>
    <t>Avg Monthly Logo Churn</t>
  </si>
  <si>
    <t>LTV ($)</t>
  </si>
  <si>
    <t>LTV:CAC</t>
  </si>
  <si>
    <t>Avg NRR</t>
  </si>
  <si>
    <t>Model Notes</t>
  </si>
  <si>
    <t>• New MRR = base plan MRR activated in the customer start month.</t>
  </si>
  <si>
    <t>• Expansion MRR = add-on MRR activated in the assigned expansion month.</t>
  </si>
  <si>
    <t>• Churn MRR = full-ramp MRR removed in the churn month.</t>
  </si>
  <si>
    <t>• LTV = ARPA × Gross Margin ÷ average monthly logo churn.</t>
  </si>
  <si>
    <t>• CAC = total 2023 Sales &amp; Marketing spend ÷ total new customers acquired in 2023.</t>
  </si>
  <si>
    <t>• Revenue recognition treats annual base plans as upfront billings recognized ratably; add-ons are billed monthly.</t>
  </si>
  <si>
    <t>Original issue chart embedded for context</t>
  </si>
  <si>
    <t>Customer ID</t>
  </si>
  <si>
    <t>Customer Name</t>
  </si>
  <si>
    <t>Industry</t>
  </si>
  <si>
    <t>Region</t>
  </si>
  <si>
    <t>Acquisition Channel</t>
  </si>
  <si>
    <t>Plan Tier</t>
  </si>
  <si>
    <t>Customer Segment</t>
  </si>
  <si>
    <t>Billing Frequency</t>
  </si>
  <si>
    <t>Start Date</t>
  </si>
  <si>
    <t>Cohort Month</t>
  </si>
  <si>
    <t>Base Plan MRR ($)</t>
  </si>
  <si>
    <t>Expansion MRR ($)</t>
  </si>
  <si>
    <t>Expansion Effective Date</t>
  </si>
  <si>
    <t>Total MRR @ Full Ramp ($)</t>
  </si>
  <si>
    <t>Churn Date</t>
  </si>
  <si>
    <t>Status @ Report Date</t>
  </si>
  <si>
    <t>Active @ Report Date?</t>
  </si>
  <si>
    <t>Contract ARR ($)</t>
  </si>
  <si>
    <t>Annual Invoice Base ($)</t>
  </si>
  <si>
    <t>Start Month</t>
  </si>
  <si>
    <t>Expansion Month</t>
  </si>
  <si>
    <t>Churn Month</t>
  </si>
  <si>
    <t>Base Contract End Month</t>
  </si>
  <si>
    <t>Active End Month</t>
  </si>
  <si>
    <t>CUST-001</t>
  </si>
  <si>
    <t>Company 1</t>
  </si>
  <si>
    <t>Fintech</t>
  </si>
  <si>
    <t>North America</t>
  </si>
  <si>
    <t>AE Team A</t>
  </si>
  <si>
    <t>Pro</t>
  </si>
  <si>
    <t>Mid-Market</t>
  </si>
  <si>
    <t>Monthly</t>
  </si>
  <si>
    <t>CUST-002</t>
  </si>
  <si>
    <t>Company 2</t>
  </si>
  <si>
    <t>HealthTech</t>
  </si>
  <si>
    <t>EMEA</t>
  </si>
  <si>
    <t>AE Team B</t>
  </si>
  <si>
    <t>Enterprise</t>
  </si>
  <si>
    <t>CUST-003</t>
  </si>
  <si>
    <t>Company 3</t>
  </si>
  <si>
    <t>MarTech</t>
  </si>
  <si>
    <t>APAC</t>
  </si>
  <si>
    <t>Partner</t>
  </si>
  <si>
    <t>Growth</t>
  </si>
  <si>
    <t>SMB</t>
  </si>
  <si>
    <t>CUST-004</t>
  </si>
  <si>
    <t>Company 4</t>
  </si>
  <si>
    <t>EdTech</t>
  </si>
  <si>
    <t>LATAM</t>
  </si>
  <si>
    <t>Self-Serve</t>
  </si>
  <si>
    <t>Business</t>
  </si>
  <si>
    <t>Annual</t>
  </si>
  <si>
    <t>CUST-005</t>
  </si>
  <si>
    <t>Company 5</t>
  </si>
  <si>
    <t>HRTech</t>
  </si>
  <si>
    <t>CUST-006</t>
  </si>
  <si>
    <t>Company 6</t>
  </si>
  <si>
    <t>Logistics</t>
  </si>
  <si>
    <t>CUST-007</t>
  </si>
  <si>
    <t>Company 7</t>
  </si>
  <si>
    <t>PropTech</t>
  </si>
  <si>
    <t>CUST-008</t>
  </si>
  <si>
    <t>Company 8</t>
  </si>
  <si>
    <t>LegalTech</t>
  </si>
  <si>
    <t>Starter</t>
  </si>
  <si>
    <t>CUST-009</t>
  </si>
  <si>
    <t>Company 9</t>
  </si>
  <si>
    <t>CUST-010</t>
  </si>
  <si>
    <t>Company 10</t>
  </si>
  <si>
    <t>CUST-011</t>
  </si>
  <si>
    <t>Company 11</t>
  </si>
  <si>
    <t>CUST-012</t>
  </si>
  <si>
    <t>Company 12</t>
  </si>
  <si>
    <t>CUST-013</t>
  </si>
  <si>
    <t>Company 13</t>
  </si>
  <si>
    <t>CUST-014</t>
  </si>
  <si>
    <t>Company 14</t>
  </si>
  <si>
    <t>CUST-015</t>
  </si>
  <si>
    <t>Company 15</t>
  </si>
  <si>
    <t>CUST-016</t>
  </si>
  <si>
    <t>Company 16</t>
  </si>
  <si>
    <t>CUST-017</t>
  </si>
  <si>
    <t>Company 17</t>
  </si>
  <si>
    <t>CUST-018</t>
  </si>
  <si>
    <t>Company 18</t>
  </si>
  <si>
    <t>CUST-019</t>
  </si>
  <si>
    <t>Company 19</t>
  </si>
  <si>
    <t>CUST-020</t>
  </si>
  <si>
    <t>Company 20</t>
  </si>
  <si>
    <t>CUST-021</t>
  </si>
  <si>
    <t>Company 21</t>
  </si>
  <si>
    <t>CUST-022</t>
  </si>
  <si>
    <t>Company 22</t>
  </si>
  <si>
    <t>CUST-023</t>
  </si>
  <si>
    <t>Company 23</t>
  </si>
  <si>
    <t>CUST-024</t>
  </si>
  <si>
    <t>Company 24</t>
  </si>
  <si>
    <t>CUST-025</t>
  </si>
  <si>
    <t>Company 25</t>
  </si>
  <si>
    <t>CUST-026</t>
  </si>
  <si>
    <t>Company 26</t>
  </si>
  <si>
    <t>CUST-027</t>
  </si>
  <si>
    <t>Company 27</t>
  </si>
  <si>
    <t>CUST-028</t>
  </si>
  <si>
    <t>Company 28</t>
  </si>
  <si>
    <t>CUST-029</t>
  </si>
  <si>
    <t>Company 29</t>
  </si>
  <si>
    <t>CUST-030</t>
  </si>
  <si>
    <t>Company 30</t>
  </si>
  <si>
    <t>CUST-031</t>
  </si>
  <si>
    <t>Company 31</t>
  </si>
  <si>
    <t>CUST-032</t>
  </si>
  <si>
    <t>Company 32</t>
  </si>
  <si>
    <t>CUST-033</t>
  </si>
  <si>
    <t>Company 33</t>
  </si>
  <si>
    <t>CUST-034</t>
  </si>
  <si>
    <t>Company 34</t>
  </si>
  <si>
    <t>CUST-035</t>
  </si>
  <si>
    <t>Company 35</t>
  </si>
  <si>
    <t>CUST-036</t>
  </si>
  <si>
    <t>Company 36</t>
  </si>
  <si>
    <t>CUST-037</t>
  </si>
  <si>
    <t>Company 37</t>
  </si>
  <si>
    <t>CUST-038</t>
  </si>
  <si>
    <t>Company 38</t>
  </si>
  <si>
    <t>CUST-039</t>
  </si>
  <si>
    <t>Company 39</t>
  </si>
  <si>
    <t>CUST-040</t>
  </si>
  <si>
    <t>Company 40</t>
  </si>
  <si>
    <t>CUST-041</t>
  </si>
  <si>
    <t>Company 41</t>
  </si>
  <si>
    <t>CUST-042</t>
  </si>
  <si>
    <t>Company 42</t>
  </si>
  <si>
    <t>CUST-043</t>
  </si>
  <si>
    <t>Company 43</t>
  </si>
  <si>
    <t>CUST-044</t>
  </si>
  <si>
    <t>Company 44</t>
  </si>
  <si>
    <t>CUST-045</t>
  </si>
  <si>
    <t>Company 45</t>
  </si>
  <si>
    <t>CUST-046</t>
  </si>
  <si>
    <t>Company 46</t>
  </si>
  <si>
    <t>CUST-047</t>
  </si>
  <si>
    <t>Company 47</t>
  </si>
  <si>
    <t>CUST-048</t>
  </si>
  <si>
    <t>Company 48</t>
  </si>
  <si>
    <t>CUST-049</t>
  </si>
  <si>
    <t>Company 49</t>
  </si>
  <si>
    <t>CUST-050</t>
  </si>
  <si>
    <t>Company 50</t>
  </si>
  <si>
    <t>Monthly SaaS Waterfall | 2023</t>
  </si>
  <si>
    <t>Beginning Customers</t>
  </si>
  <si>
    <t>New Customers</t>
  </si>
  <si>
    <t>Churned Customers</t>
  </si>
  <si>
    <t>Ending Customers</t>
  </si>
  <si>
    <t>Beginning MRR ($)</t>
  </si>
  <si>
    <t>New MRR ($)</t>
  </si>
  <si>
    <t>Churn MRR ($)</t>
  </si>
  <si>
    <t>Net New MRR ($)</t>
  </si>
  <si>
    <t>Ending MRR ($)</t>
  </si>
  <si>
    <t>Logo Churn %</t>
  </si>
  <si>
    <t>MRR Growth %</t>
  </si>
  <si>
    <t>NRR</t>
  </si>
  <si>
    <t>Sales &amp; Marketing Spend ($)</t>
  </si>
  <si>
    <t>CAC / New Customer ($)</t>
  </si>
  <si>
    <t>Check</t>
  </si>
  <si>
    <t>Cohort Analysis | Corrected by Actual Start Month</t>
  </si>
  <si>
    <t>Cohort</t>
  </si>
  <si>
    <t>Customers</t>
  </si>
  <si>
    <t>Active @ Report</t>
  </si>
  <si>
    <t>Churned @ Report</t>
  </si>
  <si>
    <t>Retention %</t>
  </si>
  <si>
    <t>Avg Base MRR ($)</t>
  </si>
  <si>
    <t>Avg Full-Ramp MRR ($)</t>
  </si>
  <si>
    <t>Annual Contracts</t>
  </si>
  <si>
    <t>Cohort ARR ($)</t>
  </si>
  <si>
    <t>Revenue Recognition Schedule | Base Plans Annualized, Add-ons Monthly</t>
  </si>
  <si>
    <t>Method</t>
  </si>
  <si>
    <t>Annual customers are billed upfront for base subscription only and recognized ratably by month. Add-ons are billed and recognized monthly for all customers.</t>
  </si>
  <si>
    <t>Annual Contract Billings - Base Plan ($)</t>
  </si>
  <si>
    <t>Monthly Billings - Base Plan ($)</t>
  </si>
  <si>
    <t>Monthly Billings - Add-ons ($)</t>
  </si>
  <si>
    <t>Total Billings ($)</t>
  </si>
  <si>
    <t>Revenue Recognized - Monthly Base ($)</t>
  </si>
  <si>
    <t>Revenue Recognized - Annual Base ($)</t>
  </si>
  <si>
    <t>Revenue Recognized - Add-ons ($)</t>
  </si>
  <si>
    <t>Total Revenue Recognized ($)</t>
  </si>
  <si>
    <t>Ending Deferred Revenue ($)</t>
  </si>
  <si>
    <t>Customer Segmentation</t>
  </si>
  <si>
    <t>Plan Mix</t>
  </si>
  <si>
    <t>Full-Ramp MRR ($)</t>
  </si>
  <si>
    <t>Billing Mix</t>
  </si>
  <si>
    <t>Billing Type</t>
  </si>
  <si>
    <t>Base ARR ($)</t>
  </si>
  <si>
    <t>Share %</t>
  </si>
  <si>
    <t>Customer Segment Mix</t>
  </si>
  <si>
    <t>Segment</t>
  </si>
  <si>
    <t>Assumptions &amp; Controls</t>
  </si>
  <si>
    <t>Setting</t>
  </si>
  <si>
    <t>Value</t>
  </si>
  <si>
    <t>Month</t>
  </si>
  <si>
    <t>S&amp;M Spend ($)</t>
  </si>
  <si>
    <t>Report Date</t>
  </si>
  <si>
    <t>Model Start Month</t>
  </si>
  <si>
    <t>Model End Month</t>
  </si>
  <si>
    <t>Customer Count Check</t>
  </si>
  <si>
    <t>Current MRR Check</t>
  </si>
  <si>
    <t>Spend model</t>
  </si>
  <si>
    <t>Mock Sales &amp; Marketing spend inputs for CAC demonstration.</t>
  </si>
  <si>
    <t>How to Use This Workbook</t>
  </si>
  <si>
    <t>Goal</t>
  </si>
  <si>
    <t>Show commercial fluency in SaaS metrics, not just bookkeeping.</t>
  </si>
  <si>
    <t>1. Customer Data</t>
  </si>
  <si>
    <t>Concrete 50-customer mock dataset with corrected cohort month, billing mix, and expansion timing.</t>
  </si>
  <si>
    <t>2. Monthly Waterfall</t>
  </si>
  <si>
    <t>Automated New MRR, Expansion MRR, Churn MRR, ending MRR, churn %, NRR, and CAC by month.</t>
  </si>
  <si>
    <t>3. Dashboard</t>
  </si>
  <si>
    <t>Executive summary view for interview or portfolio screenshots.</t>
  </si>
  <si>
    <t>4. Revenue Recognition</t>
  </si>
  <si>
    <t>Annual base plans billed upfront and recognized monthly; add-ons billed monthly.</t>
  </si>
  <si>
    <t>5. What is assumed</t>
  </si>
  <si>
    <t>Events are modeled at the month level to keep the template auditable and recruiter-friendly.</t>
  </si>
  <si>
    <t>Current Month NRR</t>
  </si>
  <si>
    <t>Best Month NRR</t>
  </si>
  <si>
    <t>Months ≥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</si>
</sst>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;[Red]\(\$#,##0\);\-"/>
    <numFmt numFmtId="165" formatCode="0.0%;[Red]\(0.0%\);\-"/>
    <numFmt numFmtId="166" formatCode="0.0\x;[Red]\(0.0\x\);\-"/>
    <numFmt numFmtId="167" formatCode="0.0"/>
    <numFmt numFmtId="168" formatCode="dd\-mmm\-yyyy"/>
    <numFmt numFmtId="169" formatCode="#,##0;[Red]\(#,##0\);\-"/>
    <numFmt numFmtId="172" formatCode="0.0%"/>
  </numFmts>
  <fonts count="22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name val="Calibri"/>
    </font>
    <font>
      <b/>
      <sz val="11"/>
      <color rgb="FFC55A11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6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000000"/>
      <name val="Calibri"/>
      <family val="2"/>
      <scheme val="minor"/>
    </font>
    <font>
      <i/>
      <sz val="11"/>
      <color rgb="FFC55A11"/>
      <name val="Calibri"/>
      <family val="2"/>
      <scheme val="minor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/>
      <right/>
      <top/>
      <bottom style="thin">
        <color rgb="FFC9C9C9"/>
      </bottom>
      <diagonal/>
    </border>
  </borders>
  <cellStyleXfs count="2">
    <xf numFmtId="0" fontId="0" fillId="0" borderId="0"/>
    <xf numFmtId="9" fontId="19" fillId="0" borderId="0" applyFont="0" applyFill="0" applyBorder="0" applyAlignment="0" applyProtection="0"/>
  </cellStyleXfs>
  <cellXfs count="68">
    <xf numFmtId="0" fontId="0" fillId="0" borderId="0" xfId="0"/>
    <xf numFmtId="17" fontId="0" fillId="0" borderId="0" xfId="0" applyNumberFormat="1"/>
    <xf numFmtId="169" fontId="0" fillId="0" borderId="2" xfId="0" applyNumberFormat="1" applyBorder="1"/>
    <xf numFmtId="0" fontId="4" fillId="0" borderId="2" xfId="0" applyFont="1" applyBorder="1"/>
    <xf numFmtId="0" fontId="0" fillId="0" borderId="2" xfId="0" applyBorder="1"/>
    <xf numFmtId="164" fontId="0" fillId="0" borderId="2" xfId="0" applyNumberFormat="1" applyBorder="1"/>
    <xf numFmtId="165" fontId="0" fillId="0" borderId="2" xfId="0" applyNumberFormat="1" applyBorder="1"/>
    <xf numFmtId="164" fontId="0" fillId="0" borderId="0" xfId="0" applyNumberFormat="1"/>
    <xf numFmtId="169" fontId="0" fillId="0" borderId="0" xfId="0" applyNumberFormat="1"/>
    <xf numFmtId="165" fontId="0" fillId="0" borderId="0" xfId="0" applyNumberFormat="1"/>
    <xf numFmtId="0" fontId="4" fillId="0" borderId="0" xfId="0" applyFon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0" fontId="9" fillId="3" borderId="0" xfId="0" applyFont="1" applyFill="1" applyAlignment="1">
      <alignment horizontal="left" vertical="center"/>
    </xf>
    <xf numFmtId="15" fontId="10" fillId="3" borderId="0" xfId="0" applyNumberFormat="1" applyFont="1" applyFill="1" applyAlignment="1">
      <alignment horizontal="right" vertical="center"/>
    </xf>
    <xf numFmtId="9" fontId="10" fillId="3" borderId="0" xfId="0" applyNumberFormat="1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10" fillId="0" borderId="2" xfId="0" applyFont="1" applyBorder="1"/>
    <xf numFmtId="168" fontId="10" fillId="0" borderId="2" xfId="0" applyNumberFormat="1" applyFont="1" applyBorder="1"/>
    <xf numFmtId="17" fontId="10" fillId="0" borderId="2" xfId="0" applyNumberFormat="1" applyFont="1" applyBorder="1"/>
    <xf numFmtId="164" fontId="10" fillId="0" borderId="2" xfId="0" applyNumberFormat="1" applyFont="1" applyBorder="1"/>
    <xf numFmtId="0" fontId="8" fillId="5" borderId="0" xfId="0" applyFont="1" applyFill="1"/>
    <xf numFmtId="0" fontId="4" fillId="6" borderId="2" xfId="0" applyFont="1" applyFill="1" applyBorder="1"/>
    <xf numFmtId="0" fontId="7" fillId="0" borderId="0" xfId="0" applyFont="1" applyAlignment="1">
      <alignment vertical="center"/>
    </xf>
    <xf numFmtId="17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4" fillId="4" borderId="0" xfId="0" applyFont="1" applyFill="1" applyAlignment="1">
      <alignment horizontal="left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7" fillId="7" borderId="0" xfId="0" applyFont="1" applyFill="1"/>
    <xf numFmtId="0" fontId="11" fillId="5" borderId="0" xfId="0" applyFont="1" applyFill="1" applyAlignment="1">
      <alignment horizontal="center" vertical="center"/>
    </xf>
    <xf numFmtId="0" fontId="6" fillId="5" borderId="0" xfId="0" applyFont="1" applyFill="1"/>
    <xf numFmtId="0" fontId="3" fillId="5" borderId="0" xfId="0" applyFont="1" applyFill="1" applyAlignment="1">
      <alignment horizontal="center"/>
    </xf>
    <xf numFmtId="0" fontId="0" fillId="5" borderId="0" xfId="0" applyFill="1"/>
    <xf numFmtId="0" fontId="7" fillId="0" borderId="0" xfId="0" applyFont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4" fillId="4" borderId="0" xfId="0" applyFont="1" applyFill="1" applyAlignment="1">
      <alignment horizontal="left"/>
    </xf>
    <xf numFmtId="0" fontId="0" fillId="4" borderId="0" xfId="0" applyFill="1"/>
    <xf numFmtId="164" fontId="15" fillId="6" borderId="1" xfId="0" applyNumberFormat="1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/>
    </xf>
    <xf numFmtId="0" fontId="12" fillId="5" borderId="0" xfId="0" applyFont="1" applyFill="1" applyAlignment="1">
      <alignment horizontal="center"/>
    </xf>
    <xf numFmtId="165" fontId="15" fillId="6" borderId="1" xfId="0" applyNumberFormat="1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left" vertical="center"/>
    </xf>
    <xf numFmtId="167" fontId="15" fillId="6" borderId="1" xfId="0" applyNumberFormat="1" applyFont="1" applyFill="1" applyBorder="1" applyAlignment="1">
      <alignment horizontal="left" vertical="center"/>
    </xf>
    <xf numFmtId="166" fontId="15" fillId="6" borderId="1" xfId="0" applyNumberFormat="1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1" fillId="5" borderId="0" xfId="0" applyFont="1" applyFill="1" applyAlignment="1">
      <alignment horizontal="center"/>
    </xf>
    <xf numFmtId="0" fontId="0" fillId="7" borderId="0" xfId="0" applyFill="1" applyAlignment="1">
      <alignment wrapText="1"/>
    </xf>
    <xf numFmtId="0" fontId="0" fillId="0" borderId="0" xfId="0" applyBorder="1"/>
    <xf numFmtId="164" fontId="0" fillId="0" borderId="0" xfId="0" applyNumberFormat="1" applyBorder="1"/>
    <xf numFmtId="0" fontId="4" fillId="0" borderId="0" xfId="0" applyFont="1" applyBorder="1"/>
    <xf numFmtId="0" fontId="5" fillId="0" borderId="0" xfId="0" applyFont="1" applyBorder="1"/>
    <xf numFmtId="0" fontId="0" fillId="3" borderId="0" xfId="0" applyFill="1" applyAlignment="1">
      <alignment horizontal="left"/>
    </xf>
    <xf numFmtId="0" fontId="0" fillId="3" borderId="0" xfId="0" applyFill="1" applyBorder="1" applyAlignment="1">
      <alignment horizontal="left"/>
    </xf>
    <xf numFmtId="0" fontId="6" fillId="4" borderId="0" xfId="0" applyFont="1" applyFill="1" applyBorder="1" applyAlignment="1">
      <alignment horizontal="left"/>
    </xf>
    <xf numFmtId="17" fontId="0" fillId="6" borderId="0" xfId="0" applyNumberFormat="1" applyFill="1"/>
    <xf numFmtId="164" fontId="10" fillId="6" borderId="0" xfId="0" applyNumberFormat="1" applyFont="1" applyFill="1"/>
    <xf numFmtId="0" fontId="20" fillId="6" borderId="0" xfId="0" applyFont="1" applyFill="1" applyBorder="1" applyAlignment="1">
      <alignment horizontal="left" vertical="center"/>
    </xf>
    <xf numFmtId="172" fontId="20" fillId="6" borderId="0" xfId="1" applyNumberFormat="1" applyFont="1" applyFill="1" applyBorder="1" applyAlignment="1">
      <alignment horizontal="left" vertical="center"/>
    </xf>
    <xf numFmtId="0" fontId="21" fillId="0" borderId="0" xfId="0" applyFont="1"/>
  </cellXfs>
  <cellStyles count="2">
    <cellStyle name="Normal" xfId="0" builtinId="0"/>
    <cellStyle name="Percent" xfId="1" builtinId="5"/>
  </cellStyles>
  <dxfs count="3">
    <dxf>
      <fill>
        <patternFill patternType="solid">
          <fgColor rgb="FFFDE9E7"/>
        </patternFill>
      </fill>
    </dxf>
    <dxf>
      <fill>
        <patternFill patternType="solid">
          <fgColor rgb="FFFDE9E7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 Mix by Customer Count</a:t>
            </a:r>
          </a:p>
        </c:rich>
      </c:tx>
      <c:layout>
        <c:manualLayout>
          <c:xMode val="edge"/>
          <c:yMode val="edge"/>
          <c:x val="0.23491916095302304"/>
          <c:y val="2.730375426621160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92730210016155E-2"/>
          <c:y val="0.17747440273037543"/>
          <c:w val="0.69998448093826726"/>
          <c:h val="0.7474402730375426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Segmentation!$B$4</c:f>
              <c:strCache>
                <c:ptCount val="1"/>
                <c:pt idx="0">
                  <c:v>Customers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4">
                  <a:shade val="53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8FC-49E7-AA4A-0DC256E75E6F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4">
                  <a:shade val="76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8FC-49E7-AA4A-0DC256E75E6F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4"/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8FC-49E7-AA4A-0DC256E75E6F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>
                  <a:tint val="77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8FC-49E7-AA4A-0DC256E75E6F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4">
                  <a:tint val="54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8FC-49E7-AA4A-0DC256E75E6F}"/>
              </c:ext>
            </c:extLst>
          </c:dPt>
          <c:cat>
            <c:strRef>
              <c:f>Segmentation!$A$5:$A$9</c:f>
              <c:strCache>
                <c:ptCount val="5"/>
                <c:pt idx="0">
                  <c:v>Starter</c:v>
                </c:pt>
                <c:pt idx="1">
                  <c:v>Growth</c:v>
                </c:pt>
                <c:pt idx="2">
                  <c:v>Pro</c:v>
                </c:pt>
                <c:pt idx="3">
                  <c:v>Business</c:v>
                </c:pt>
                <c:pt idx="4">
                  <c:v>Enterprise</c:v>
                </c:pt>
              </c:strCache>
            </c:strRef>
          </c:cat>
          <c:val>
            <c:numRef>
              <c:f>Segmentation!$B$5:$B$9</c:f>
              <c:numCache>
                <c:formatCode>General</c:formatCode>
                <c:ptCount val="5"/>
                <c:pt idx="0">
                  <c:v>14</c:v>
                </c:pt>
                <c:pt idx="1">
                  <c:v>9</c:v>
                </c:pt>
                <c:pt idx="2">
                  <c:v>8</c:v>
                </c:pt>
                <c:pt idx="3">
                  <c:v>11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2-4223-891D-80A1A5CF9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Plan Tier</a:t>
                </a:r>
              </a:p>
            </c:rich>
          </c:tx>
          <c:layout>
            <c:manualLayout>
              <c:xMode val="edge"/>
              <c:yMode val="edge"/>
              <c:x val="0.28160762214900842"/>
              <c:y val="0.89621133535782427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Customers</a:t>
                </a:r>
              </a:p>
            </c:rich>
          </c:tx>
          <c:layout>
            <c:manualLayout>
              <c:xMode val="edge"/>
              <c:yMode val="edge"/>
              <c:x val="0"/>
              <c:y val="0.3730203434468302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Billing Mix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Segmentation!$B$13</c:f>
              <c:strCache>
                <c:ptCount val="1"/>
                <c:pt idx="0">
                  <c:v>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609-4F15-ACA3-FCAB414AE330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609-4F15-ACA3-FCAB414AE3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leaderLines>
              <c:spPr>
                <a:ln w="9525" cap="flat" cmpd="sng" algn="ctr">
                  <a:solidFill>
                    <a:schemeClr val="tx1">
                      <a:shade val="95000"/>
                      <a:satMod val="10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Segmentation!$A$14:$A$15</c:f>
              <c:strCache>
                <c:ptCount val="2"/>
                <c:pt idx="0">
                  <c:v>Monthly</c:v>
                </c:pt>
                <c:pt idx="1">
                  <c:v>Annual</c:v>
                </c:pt>
              </c:strCache>
            </c:strRef>
          </c:cat>
          <c:val>
            <c:numRef>
              <c:f>Segmentation!$B$14:$B$15</c:f>
              <c:numCache>
                <c:formatCode>General</c:formatCode>
                <c:ptCount val="2"/>
                <c:pt idx="0">
                  <c:v>38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AD-44BB-B28C-B1AC4D61E2A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15373456790123"/>
          <c:y val="0.74148690476190471"/>
          <c:w val="0.24494413580246913"/>
          <c:h val="0.2125023809523809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Ending MRR Trend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28575" cap="rnd" cmpd="sng" algn="ctr">
              <a:solidFill>
                <a:schemeClr val="accent4">
                  <a:shade val="4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'Monthly Waterfall'!$B$2:$M$2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'Monthly Waterfall'!$B$15</c:f>
              <c:numCache>
                <c:formatCode>\$#,##0;[Red]\(\$#,##0\);\-</c:formatCode>
                <c:ptCount val="1"/>
                <c:pt idx="0">
                  <c:v>3349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B58-4699-9A0C-6D0E41AAA7B8}"/>
            </c:ext>
          </c:extLst>
        </c:ser>
        <c:ser>
          <c:idx val="1"/>
          <c:order val="1"/>
          <c:spPr>
            <a:ln w="28575" cap="rnd" cmpd="sng" algn="ctr">
              <a:solidFill>
                <a:schemeClr val="accent4">
                  <a:shade val="51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'Monthly Waterfall'!$B$2:$M$2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'Monthly Waterfall'!$C$15</c:f>
              <c:numCache>
                <c:formatCode>\$#,##0;[Red]\(\$#,##0\);\-</c:formatCode>
                <c:ptCount val="1"/>
                <c:pt idx="0">
                  <c:v>6552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B58-4699-9A0C-6D0E41AAA7B8}"/>
            </c:ext>
          </c:extLst>
        </c:ser>
        <c:ser>
          <c:idx val="2"/>
          <c:order val="2"/>
          <c:spPr>
            <a:ln w="28575" cap="rnd" cmpd="sng" algn="ctr">
              <a:solidFill>
                <a:schemeClr val="accent4">
                  <a:shade val="62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'Monthly Waterfall'!$B$2:$M$2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'Monthly Waterfall'!$D$15</c:f>
              <c:numCache>
                <c:formatCode>\$#,##0;[Red]\(\$#,##0\);\-</c:formatCode>
                <c:ptCount val="1"/>
                <c:pt idx="0">
                  <c:v>9059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B58-4699-9A0C-6D0E41AAA7B8}"/>
            </c:ext>
          </c:extLst>
        </c:ser>
        <c:ser>
          <c:idx val="3"/>
          <c:order val="3"/>
          <c:spPr>
            <a:ln w="28575" cap="rnd" cmpd="sng" algn="ctr">
              <a:solidFill>
                <a:schemeClr val="accent4">
                  <a:shade val="73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'Monthly Waterfall'!$B$2:$M$2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'Monthly Waterfall'!$E$15</c:f>
              <c:numCache>
                <c:formatCode>\$#,##0;[Red]\(\$#,##0\);\-</c:formatCode>
                <c:ptCount val="1"/>
                <c:pt idx="0">
                  <c:v>12490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B58-4699-9A0C-6D0E41AAA7B8}"/>
            </c:ext>
          </c:extLst>
        </c:ser>
        <c:ser>
          <c:idx val="4"/>
          <c:order val="4"/>
          <c:spPr>
            <a:ln w="28575" cap="rnd" cmpd="sng" algn="ctr">
              <a:solidFill>
                <a:schemeClr val="accent4">
                  <a:shade val="83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'Monthly Waterfall'!$B$2:$M$2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'Monthly Waterfall'!$F$15</c:f>
              <c:numCache>
                <c:formatCode>\$#,##0;[Red]\(\$#,##0\);\-</c:formatCode>
                <c:ptCount val="1"/>
                <c:pt idx="0">
                  <c:v>14283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B58-4699-9A0C-6D0E41AAA7B8}"/>
            </c:ext>
          </c:extLst>
        </c:ser>
        <c:ser>
          <c:idx val="5"/>
          <c:order val="5"/>
          <c:spPr>
            <a:ln w="28575" cap="rnd" cmpd="sng" algn="ctr">
              <a:solidFill>
                <a:schemeClr val="accent4">
                  <a:shade val="94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'Monthly Waterfall'!$B$2:$M$2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'Monthly Waterfall'!$G$15</c:f>
              <c:numCache>
                <c:formatCode>\$#,##0;[Red]\(\$#,##0\);\-</c:formatCode>
                <c:ptCount val="1"/>
                <c:pt idx="0">
                  <c:v>15883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B58-4699-9A0C-6D0E41AAA7B8}"/>
            </c:ext>
          </c:extLst>
        </c:ser>
        <c:ser>
          <c:idx val="6"/>
          <c:order val="6"/>
          <c:spPr>
            <a:ln w="28575" cap="rnd" cmpd="sng" algn="ctr">
              <a:solidFill>
                <a:schemeClr val="accent4">
                  <a:tint val="9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'Monthly Waterfall'!$B$2:$M$2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'Monthly Waterfall'!$H$15</c:f>
              <c:numCache>
                <c:formatCode>\$#,##0;[Red]\(\$#,##0\);\-</c:formatCode>
                <c:ptCount val="1"/>
                <c:pt idx="0">
                  <c:v>16981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EB58-4699-9A0C-6D0E41AAA7B8}"/>
            </c:ext>
          </c:extLst>
        </c:ser>
        <c:ser>
          <c:idx val="7"/>
          <c:order val="7"/>
          <c:spPr>
            <a:ln w="28575" cap="rnd" cmpd="sng" algn="ctr">
              <a:solidFill>
                <a:schemeClr val="accent4">
                  <a:tint val="84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'Monthly Waterfall'!$B$2:$M$2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'Monthly Waterfall'!$I$15</c:f>
              <c:numCache>
                <c:formatCode>\$#,##0;[Red]\(\$#,##0\);\-</c:formatCode>
                <c:ptCount val="1"/>
                <c:pt idx="0">
                  <c:v>19452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EB58-4699-9A0C-6D0E41AAA7B8}"/>
            </c:ext>
          </c:extLst>
        </c:ser>
        <c:ser>
          <c:idx val="8"/>
          <c:order val="8"/>
          <c:spPr>
            <a:ln w="28575" cap="rnd" cmpd="sng" algn="ctr">
              <a:solidFill>
                <a:schemeClr val="accent4">
                  <a:tint val="74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'Monthly Waterfall'!$B$2:$M$2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'Monthly Waterfall'!$J$15</c:f>
              <c:numCache>
                <c:formatCode>\$#,##0;[Red]\(\$#,##0\);\-</c:formatCode>
                <c:ptCount val="1"/>
                <c:pt idx="0">
                  <c:v>20105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EB58-4699-9A0C-6D0E41AAA7B8}"/>
            </c:ext>
          </c:extLst>
        </c:ser>
        <c:ser>
          <c:idx val="9"/>
          <c:order val="9"/>
          <c:spPr>
            <a:ln w="28575" cap="rnd" cmpd="sng" algn="ctr">
              <a:solidFill>
                <a:schemeClr val="accent4">
                  <a:tint val="63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'Monthly Waterfall'!$B$2:$M$2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'Monthly Waterfall'!$K$15</c:f>
              <c:numCache>
                <c:formatCode>\$#,##0;[Red]\(\$#,##0\);\-</c:formatCode>
                <c:ptCount val="1"/>
                <c:pt idx="0">
                  <c:v>19990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EB58-4699-9A0C-6D0E41AAA7B8}"/>
            </c:ext>
          </c:extLst>
        </c:ser>
        <c:ser>
          <c:idx val="10"/>
          <c:order val="10"/>
          <c:spPr>
            <a:ln w="28575" cap="rnd" cmpd="sng" algn="ctr">
              <a:solidFill>
                <a:schemeClr val="accent4">
                  <a:tint val="52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'Monthly Waterfall'!$B$2:$M$2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'Monthly Waterfall'!$L$15</c:f>
              <c:numCache>
                <c:formatCode>\$#,##0;[Red]\(\$#,##0\);\-</c:formatCode>
                <c:ptCount val="1"/>
                <c:pt idx="0">
                  <c:v>20086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EB58-4699-9A0C-6D0E41AAA7B8}"/>
            </c:ext>
          </c:extLst>
        </c:ser>
        <c:ser>
          <c:idx val="11"/>
          <c:order val="11"/>
          <c:spPr>
            <a:ln w="28575" cap="rnd" cmpd="sng" algn="ctr">
              <a:solidFill>
                <a:schemeClr val="accent4">
                  <a:tint val="41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'Monthly Waterfall'!$B$2:$M$2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'Monthly Waterfall'!$M$15</c:f>
              <c:numCache>
                <c:formatCode>\$#,##0;[Red]\(\$#,##0\);\-</c:formatCode>
                <c:ptCount val="1"/>
                <c:pt idx="0">
                  <c:v>19852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EB58-4699-9A0C-6D0E41AAA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mm\-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MRR ($)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\$#,##0;[Red]\(\$#,##0\);\-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2023 MRR Movement by Month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'Monthly Waterfall'!$B$11</c:f>
              <c:strCache>
                <c:ptCount val="1"/>
                <c:pt idx="0">
                  <c:v>$3,290</c:v>
                </c:pt>
              </c:strCache>
            </c:strRef>
          </c:tx>
          <c:spPr>
            <a:solidFill>
              <a:srgbClr val="695185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1"/>
          <c:cat>
            <c:numRef>
              <c:f>'Monthly Waterfall'!$B$2:$M$2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'Monthly Waterfall'!$C$11:$M$11</c:f>
              <c:numCache>
                <c:formatCode>\$#,##0;[Red]\(\$#,##0\);\-</c:formatCode>
                <c:ptCount val="11"/>
                <c:pt idx="0">
                  <c:v>3294</c:v>
                </c:pt>
                <c:pt idx="1">
                  <c:v>1893</c:v>
                </c:pt>
                <c:pt idx="2">
                  <c:v>2992</c:v>
                </c:pt>
                <c:pt idx="3">
                  <c:v>1396</c:v>
                </c:pt>
                <c:pt idx="4">
                  <c:v>1296</c:v>
                </c:pt>
                <c:pt idx="5">
                  <c:v>1296</c:v>
                </c:pt>
                <c:pt idx="6">
                  <c:v>1993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ap="flat" cmpd="sng" algn="ctr">
                    <a:solidFill>
                      <a:schemeClr val="l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14:spPr>
              </c14:invertSolidFillFmt>
            </c:ext>
            <c:ext xmlns:c16="http://schemas.microsoft.com/office/drawing/2014/chart" uri="{C3380CC4-5D6E-409C-BE32-E72D297353CC}">
              <c16:uniqueId val="{00000000-A327-44BC-89E9-827C13EDBBCD}"/>
            </c:ext>
          </c:extLst>
        </c:ser>
        <c:ser>
          <c:idx val="1"/>
          <c:order val="1"/>
          <c:tx>
            <c:strRef>
              <c:f>'Monthly Waterfall'!$B$12</c:f>
              <c:strCache>
                <c:ptCount val="1"/>
                <c:pt idx="0">
                  <c:v>$59</c:v>
                </c:pt>
              </c:strCache>
            </c:strRef>
          </c:tx>
          <c:spPr>
            <a:solidFill>
              <a:srgbClr val="8064A2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1"/>
          <c:cat>
            <c:numRef>
              <c:f>'Monthly Waterfall'!$B$2:$M$2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'Monthly Waterfall'!$C$12:$M$12</c:f>
              <c:numCache>
                <c:formatCode>\$#,##0;[Red]\(\$#,##0\);\-</c:formatCode>
                <c:ptCount val="11"/>
                <c:pt idx="0">
                  <c:v>167</c:v>
                </c:pt>
                <c:pt idx="1">
                  <c:v>614</c:v>
                </c:pt>
                <c:pt idx="2">
                  <c:v>776</c:v>
                </c:pt>
                <c:pt idx="3">
                  <c:v>646</c:v>
                </c:pt>
                <c:pt idx="4">
                  <c:v>304</c:v>
                </c:pt>
                <c:pt idx="5">
                  <c:v>623</c:v>
                </c:pt>
                <c:pt idx="6">
                  <c:v>478</c:v>
                </c:pt>
                <c:pt idx="7">
                  <c:v>653</c:v>
                </c:pt>
                <c:pt idx="8">
                  <c:v>269</c:v>
                </c:pt>
                <c:pt idx="9">
                  <c:v>96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ap="flat" cmpd="sng" algn="ctr">
                    <a:solidFill>
                      <a:schemeClr val="l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14:spPr>
              </c14:invertSolidFillFmt>
            </c:ext>
            <c:ext xmlns:c16="http://schemas.microsoft.com/office/drawing/2014/chart" uri="{C3380CC4-5D6E-409C-BE32-E72D297353CC}">
              <c16:uniqueId val="{00000001-A327-44BC-89E9-827C13EDBBCD}"/>
            </c:ext>
          </c:extLst>
        </c:ser>
        <c:ser>
          <c:idx val="2"/>
          <c:order val="2"/>
          <c:tx>
            <c:strRef>
              <c:f>'Monthly Waterfall'!$B$13</c:f>
              <c:strCache>
                <c:ptCount val="1"/>
                <c:pt idx="0">
                  <c:v>-</c:v>
                </c:pt>
              </c:strCache>
            </c:strRef>
          </c:tx>
          <c:spPr>
            <a:solidFill>
              <a:srgbClr val="BAB0C9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1"/>
          <c:cat>
            <c:numRef>
              <c:f>'Monthly Waterfall'!$B$2:$M$2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'Monthly Waterfall'!$C$13:$M$13</c:f>
              <c:numCache>
                <c:formatCode>\$#,##0;[Red]\(\$#,##0\);\-</c:formatCode>
                <c:ptCount val="11"/>
                <c:pt idx="0">
                  <c:v>258</c:v>
                </c:pt>
                <c:pt idx="1">
                  <c:v>0</c:v>
                </c:pt>
                <c:pt idx="2">
                  <c:v>337</c:v>
                </c:pt>
                <c:pt idx="3">
                  <c:v>249</c:v>
                </c:pt>
                <c:pt idx="4">
                  <c:v>0</c:v>
                </c:pt>
                <c:pt idx="5">
                  <c:v>821</c:v>
                </c:pt>
                <c:pt idx="6">
                  <c:v>0</c:v>
                </c:pt>
                <c:pt idx="7">
                  <c:v>0</c:v>
                </c:pt>
                <c:pt idx="8">
                  <c:v>384</c:v>
                </c:pt>
                <c:pt idx="9">
                  <c:v>0</c:v>
                </c:pt>
                <c:pt idx="10">
                  <c:v>234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ap="flat" cmpd="sng" algn="ctr">
                    <a:solidFill>
                      <a:schemeClr val="l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14:spPr>
              </c14:invertSolidFillFmt>
            </c:ext>
            <c:ext xmlns:c16="http://schemas.microsoft.com/office/drawing/2014/chart" uri="{C3380CC4-5D6E-409C-BE32-E72D297353CC}">
              <c16:uniqueId val="{00000002-A327-44BC-89E9-827C13EDB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dateAx>
        <c:axId val="10"/>
        <c:scaling>
          <c:orientation val="minMax"/>
        </c:scaling>
        <c:delete val="1"/>
        <c:axPos val="b"/>
        <c:numFmt formatCode="mmm\-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MRR ($)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\$#,##0;[Red]\(\$#,##0\);\-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 Mix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Segmentation!$B$4</c:f>
              <c:strCache>
                <c:ptCount val="1"/>
                <c:pt idx="0">
                  <c:v>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3B7-4AEA-BA2D-B1095B76639C}"/>
              </c:ext>
            </c:extLst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B7-4AEA-BA2D-B1095B76639C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3B7-4AEA-BA2D-B1095B76639C}"/>
              </c:ext>
            </c:extLst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3B7-4AEA-BA2D-B1095B76639C}"/>
              </c:ext>
            </c:extLst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3B7-4AEA-BA2D-B1095B7663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leaderLines>
              <c:spPr>
                <a:ln w="9525" cap="flat" cmpd="sng" algn="ctr">
                  <a:solidFill>
                    <a:schemeClr val="tx1">
                      <a:shade val="95000"/>
                      <a:satMod val="10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Segmentation!$A$5:$A$9</c:f>
              <c:strCache>
                <c:ptCount val="5"/>
                <c:pt idx="0">
                  <c:v>Starter</c:v>
                </c:pt>
                <c:pt idx="1">
                  <c:v>Growth</c:v>
                </c:pt>
                <c:pt idx="2">
                  <c:v>Pro</c:v>
                </c:pt>
                <c:pt idx="3">
                  <c:v>Business</c:v>
                </c:pt>
                <c:pt idx="4">
                  <c:v>Enterprise</c:v>
                </c:pt>
              </c:strCache>
            </c:strRef>
          </c:cat>
          <c:val>
            <c:numRef>
              <c:f>Segmentation!$B$5:$B$9</c:f>
              <c:numCache>
                <c:formatCode>General</c:formatCode>
                <c:ptCount val="5"/>
                <c:pt idx="0">
                  <c:v>14</c:v>
                </c:pt>
                <c:pt idx="1">
                  <c:v>9</c:v>
                </c:pt>
                <c:pt idx="2">
                  <c:v>8</c:v>
                </c:pt>
                <c:pt idx="3">
                  <c:v>11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51-40F4-97FA-9869B76157F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10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76200</xdr:colOff>
      <xdr:row>1</xdr:row>
      <xdr:rowOff>44450</xdr:rowOff>
    </xdr:from>
    <xdr:ext cx="3930650" cy="1860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50800</xdr:colOff>
      <xdr:row>11</xdr:row>
      <xdr:rowOff>31750</xdr:rowOff>
    </xdr:from>
    <xdr:ext cx="32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31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31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266700</xdr:colOff>
      <xdr:row>24</xdr:row>
      <xdr:rowOff>127000</xdr:rowOff>
    </xdr:from>
    <xdr:ext cx="5407300" cy="48768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showGridLines="0" tabSelected="1" workbookViewId="0">
      <selection sqref="A1:D1"/>
    </sheetView>
  </sheetViews>
  <sheetFormatPr defaultRowHeight="14.5" x14ac:dyDescent="0.35"/>
  <cols>
    <col min="1" max="1" width="20" customWidth="1"/>
    <col min="2" max="2" width="18" customWidth="1"/>
    <col min="3" max="3" width="11" customWidth="1"/>
    <col min="4" max="4" width="15" customWidth="1"/>
  </cols>
  <sheetData>
    <row r="1" spans="1:4" ht="18.5" x14ac:dyDescent="0.45">
      <c r="A1" s="36" t="s">
        <v>223</v>
      </c>
      <c r="B1" s="37"/>
      <c r="C1" s="37"/>
      <c r="D1" s="37"/>
    </row>
    <row r="3" spans="1:4" x14ac:dyDescent="0.35">
      <c r="A3" s="17" t="s">
        <v>224</v>
      </c>
      <c r="B3" s="17" t="s">
        <v>225</v>
      </c>
      <c r="C3" s="17" t="s">
        <v>226</v>
      </c>
      <c r="D3" s="17" t="s">
        <v>227</v>
      </c>
    </row>
    <row r="4" spans="1:4" s="13" customFormat="1" x14ac:dyDescent="0.35">
      <c r="A4" s="14" t="s">
        <v>228</v>
      </c>
      <c r="B4" s="15">
        <v>45291</v>
      </c>
      <c r="C4" s="1">
        <v>44927</v>
      </c>
      <c r="D4" s="64">
        <v>14000</v>
      </c>
    </row>
    <row r="5" spans="1:4" s="13" customFormat="1" x14ac:dyDescent="0.35">
      <c r="A5" s="14" t="s">
        <v>11</v>
      </c>
      <c r="B5" s="16">
        <v>0.8</v>
      </c>
      <c r="C5" s="1">
        <v>44958</v>
      </c>
      <c r="D5" s="64">
        <v>13500</v>
      </c>
    </row>
    <row r="6" spans="1:4" x14ac:dyDescent="0.35">
      <c r="A6" s="10" t="s">
        <v>229</v>
      </c>
      <c r="B6" s="63">
        <v>44927</v>
      </c>
      <c r="C6" s="1">
        <v>44986</v>
      </c>
      <c r="D6" s="64">
        <v>14500</v>
      </c>
    </row>
    <row r="7" spans="1:4" x14ac:dyDescent="0.35">
      <c r="A7" s="10" t="s">
        <v>230</v>
      </c>
      <c r="B7" s="63">
        <v>45261</v>
      </c>
      <c r="C7" s="1">
        <v>45017</v>
      </c>
      <c r="D7" s="64">
        <v>15000</v>
      </c>
    </row>
    <row r="8" spans="1:4" x14ac:dyDescent="0.35">
      <c r="A8" s="10" t="s">
        <v>231</v>
      </c>
      <c r="B8" s="11">
        <f>COUNTA('Customer Data'!A:A)-1</f>
        <v>50</v>
      </c>
      <c r="C8" s="1">
        <v>45047</v>
      </c>
      <c r="D8" s="64">
        <v>12800</v>
      </c>
    </row>
    <row r="9" spans="1:4" x14ac:dyDescent="0.35">
      <c r="A9" s="10" t="s">
        <v>232</v>
      </c>
      <c r="B9" s="12">
        <f>'Monthly Waterfall'!M15</f>
        <v>19852</v>
      </c>
      <c r="C9" s="1">
        <v>45078</v>
      </c>
      <c r="D9" s="64">
        <v>12600</v>
      </c>
    </row>
    <row r="10" spans="1:4" x14ac:dyDescent="0.35">
      <c r="C10" s="1">
        <v>45108</v>
      </c>
      <c r="D10" s="64">
        <v>13000</v>
      </c>
    </row>
    <row r="11" spans="1:4" x14ac:dyDescent="0.35">
      <c r="C11" s="1">
        <v>45139</v>
      </c>
      <c r="D11" s="64">
        <v>13300</v>
      </c>
    </row>
    <row r="12" spans="1:4" x14ac:dyDescent="0.35">
      <c r="C12" s="1">
        <v>45170</v>
      </c>
      <c r="D12" s="64">
        <v>11500</v>
      </c>
    </row>
    <row r="13" spans="1:4" x14ac:dyDescent="0.35">
      <c r="C13" s="1">
        <v>45200</v>
      </c>
      <c r="D13" s="64">
        <v>11500</v>
      </c>
    </row>
    <row r="14" spans="1:4" x14ac:dyDescent="0.35">
      <c r="C14" s="1">
        <v>45231</v>
      </c>
      <c r="D14" s="64">
        <v>11800</v>
      </c>
    </row>
    <row r="15" spans="1:4" x14ac:dyDescent="0.35">
      <c r="C15" s="1">
        <v>45261</v>
      </c>
      <c r="D15" s="64">
        <v>12000</v>
      </c>
    </row>
    <row r="16" spans="1:4" x14ac:dyDescent="0.35">
      <c r="A16" t="s">
        <v>233</v>
      </c>
      <c r="B16" t="s">
        <v>234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.81640625" bestFit="1" customWidth="1"/>
    <col min="2" max="2" width="19" bestFit="1" customWidth="1"/>
    <col min="3" max="3" width="12.36328125" bestFit="1" customWidth="1"/>
    <col min="4" max="4" width="13" bestFit="1" customWidth="1"/>
    <col min="5" max="5" width="22.08984375" bestFit="1" customWidth="1"/>
    <col min="6" max="6" width="12.6328125" bestFit="1" customWidth="1"/>
    <col min="7" max="7" width="21.36328125" bestFit="1" customWidth="1"/>
    <col min="8" max="8" width="19.453125" bestFit="1" customWidth="1"/>
    <col min="9" max="9" width="13.90625" bestFit="1" customWidth="1"/>
    <col min="10" max="10" width="17.453125" bestFit="1" customWidth="1"/>
    <col min="11" max="11" width="20.54296875" bestFit="1" customWidth="1"/>
    <col min="12" max="12" width="21.08984375" bestFit="1" customWidth="1"/>
    <col min="13" max="13" width="26.26953125" bestFit="1" customWidth="1"/>
    <col min="14" max="14" width="27.90625" bestFit="1" customWidth="1"/>
    <col min="15" max="15" width="14.90625" bestFit="1" customWidth="1"/>
    <col min="16" max="16" width="23.7265625" bestFit="1" customWidth="1"/>
    <col min="17" max="17" width="24.453125" bestFit="1" customWidth="1"/>
    <col min="18" max="18" width="19.26953125" bestFit="1" customWidth="1"/>
    <col min="19" max="19" width="24.90625" bestFit="1" customWidth="1"/>
    <col min="20" max="20" width="15.6328125" bestFit="1" customWidth="1"/>
    <col min="21" max="21" width="20.1796875" bestFit="1" customWidth="1"/>
    <col min="22" max="22" width="16.6328125" bestFit="1" customWidth="1"/>
    <col min="23" max="23" width="27.08984375" bestFit="1" customWidth="1"/>
    <col min="24" max="24" width="20.36328125" bestFit="1" customWidth="1"/>
  </cols>
  <sheetData>
    <row r="1" spans="1:24" s="22" customFormat="1" x14ac:dyDescent="0.35">
      <c r="A1" s="34" t="s">
        <v>27</v>
      </c>
      <c r="B1" s="35" t="s">
        <v>28</v>
      </c>
      <c r="C1" s="34" t="s">
        <v>29</v>
      </c>
      <c r="D1" s="34" t="s">
        <v>30</v>
      </c>
      <c r="E1" s="34" t="s">
        <v>31</v>
      </c>
      <c r="F1" s="34" t="s">
        <v>32</v>
      </c>
      <c r="G1" s="34" t="s">
        <v>33</v>
      </c>
      <c r="H1" s="34" t="s">
        <v>34</v>
      </c>
      <c r="I1" s="34" t="s">
        <v>35</v>
      </c>
      <c r="J1" s="34" t="s">
        <v>36</v>
      </c>
      <c r="K1" s="34" t="s">
        <v>37</v>
      </c>
      <c r="L1" s="34" t="s">
        <v>38</v>
      </c>
      <c r="M1" s="34" t="s">
        <v>39</v>
      </c>
      <c r="N1" s="34" t="s">
        <v>40</v>
      </c>
      <c r="O1" s="34" t="s">
        <v>41</v>
      </c>
      <c r="P1" s="34" t="s">
        <v>42</v>
      </c>
      <c r="Q1" s="34" t="s">
        <v>43</v>
      </c>
      <c r="R1" s="34" t="s">
        <v>44</v>
      </c>
      <c r="S1" s="35" t="s">
        <v>45</v>
      </c>
      <c r="T1" s="34" t="s">
        <v>46</v>
      </c>
      <c r="U1" s="34" t="s">
        <v>47</v>
      </c>
      <c r="V1" s="34" t="s">
        <v>48</v>
      </c>
      <c r="W1" s="34" t="s">
        <v>49</v>
      </c>
      <c r="X1" s="34" t="s">
        <v>50</v>
      </c>
    </row>
    <row r="2" spans="1:24" x14ac:dyDescent="0.35">
      <c r="A2" s="18" t="s">
        <v>51</v>
      </c>
      <c r="B2" s="18" t="s">
        <v>52</v>
      </c>
      <c r="C2" s="18" t="s">
        <v>53</v>
      </c>
      <c r="D2" s="18" t="s">
        <v>54</v>
      </c>
      <c r="E2" s="18" t="s">
        <v>55</v>
      </c>
      <c r="F2" s="18" t="s">
        <v>56</v>
      </c>
      <c r="G2" s="18" t="s">
        <v>57</v>
      </c>
      <c r="H2" s="18" t="s">
        <v>58</v>
      </c>
      <c r="I2" s="19">
        <v>44950</v>
      </c>
      <c r="J2" s="20">
        <f t="shared" ref="J2:J33" si="0">DATE(YEAR(I2),MONTH(I2),1)</f>
        <v>44927</v>
      </c>
      <c r="K2" s="21">
        <v>299</v>
      </c>
      <c r="L2" s="21">
        <v>62</v>
      </c>
      <c r="M2" s="19">
        <v>44980</v>
      </c>
      <c r="N2" s="21">
        <f t="shared" ref="N2:N33" si="1">K2+L2</f>
        <v>361</v>
      </c>
      <c r="O2" s="19"/>
      <c r="P2" s="18" t="str">
        <f>IF(OR(O2="",O2&gt;Assumptions!$B$2),"Active","Churned")</f>
        <v>Active</v>
      </c>
      <c r="Q2" s="18" t="str">
        <f t="shared" ref="Q2:Q33" si="2">IF(P2="Active","Yes","No")</f>
        <v>Yes</v>
      </c>
      <c r="R2" s="21">
        <f t="shared" ref="R2:R33" si="3">N2*12</f>
        <v>4332</v>
      </c>
      <c r="S2" s="21">
        <f t="shared" ref="S2:S33" si="4">IF(H2="Annual",K2*12,0)</f>
        <v>0</v>
      </c>
      <c r="T2" s="20">
        <f t="shared" ref="T2:T33" si="5">DATE(YEAR(I2),MONTH(I2),1)</f>
        <v>44927</v>
      </c>
      <c r="U2" s="20">
        <f t="shared" ref="U2:U33" si="6">IF(M2="","",DATE(YEAR(M2),MONTH(M2),1))</f>
        <v>44958</v>
      </c>
      <c r="V2" s="20" t="str">
        <f t="shared" ref="V2:V33" si="7">IF(O2="","",DATE(YEAR(O2),MONTH(O2),1))</f>
        <v/>
      </c>
      <c r="W2" s="20">
        <f t="shared" ref="W2:W33" si="8">IF(H2="Annual",EDATE(T2,12),DATE(2099,12,1))</f>
        <v>73020</v>
      </c>
      <c r="X2" s="20">
        <f t="shared" ref="X2:X33" si="9">IF(V2="",W2,MIN(V2,W2))</f>
        <v>73020</v>
      </c>
    </row>
    <row r="3" spans="1:24" x14ac:dyDescent="0.35">
      <c r="A3" s="18" t="s">
        <v>59</v>
      </c>
      <c r="B3" s="18" t="s">
        <v>60</v>
      </c>
      <c r="C3" s="18" t="s">
        <v>61</v>
      </c>
      <c r="D3" s="18" t="s">
        <v>62</v>
      </c>
      <c r="E3" s="18" t="s">
        <v>63</v>
      </c>
      <c r="F3" s="18" t="s">
        <v>64</v>
      </c>
      <c r="G3" s="18" t="s">
        <v>64</v>
      </c>
      <c r="H3" s="18" t="s">
        <v>58</v>
      </c>
      <c r="I3" s="19">
        <v>44979</v>
      </c>
      <c r="J3" s="20">
        <f t="shared" si="0"/>
        <v>44958</v>
      </c>
      <c r="K3" s="21">
        <v>799</v>
      </c>
      <c r="L3" s="21">
        <v>22</v>
      </c>
      <c r="M3" s="19">
        <v>45024</v>
      </c>
      <c r="N3" s="21">
        <f t="shared" si="1"/>
        <v>821</v>
      </c>
      <c r="O3" s="19">
        <v>45117</v>
      </c>
      <c r="P3" s="18" t="str">
        <f>IF(OR(O3="",O3&gt;Assumptions!$B$2),"Active","Churned")</f>
        <v>Active</v>
      </c>
      <c r="Q3" s="18" t="str">
        <f t="shared" si="2"/>
        <v>Yes</v>
      </c>
      <c r="R3" s="21">
        <f t="shared" si="3"/>
        <v>9852</v>
      </c>
      <c r="S3" s="21">
        <f t="shared" si="4"/>
        <v>0</v>
      </c>
      <c r="T3" s="20">
        <f t="shared" si="5"/>
        <v>44958</v>
      </c>
      <c r="U3" s="20">
        <f t="shared" si="6"/>
        <v>45017</v>
      </c>
      <c r="V3" s="20">
        <f t="shared" si="7"/>
        <v>45108</v>
      </c>
      <c r="W3" s="20">
        <f t="shared" si="8"/>
        <v>73020</v>
      </c>
      <c r="X3" s="20">
        <f t="shared" si="9"/>
        <v>45108</v>
      </c>
    </row>
    <row r="4" spans="1:24" x14ac:dyDescent="0.35">
      <c r="A4" s="18" t="s">
        <v>65</v>
      </c>
      <c r="B4" s="18" t="s">
        <v>66</v>
      </c>
      <c r="C4" s="18" t="s">
        <v>67</v>
      </c>
      <c r="D4" s="18" t="s">
        <v>68</v>
      </c>
      <c r="E4" s="18" t="s">
        <v>69</v>
      </c>
      <c r="F4" s="18" t="s">
        <v>70</v>
      </c>
      <c r="G4" s="18" t="s">
        <v>71</v>
      </c>
      <c r="H4" s="18" t="s">
        <v>58</v>
      </c>
      <c r="I4" s="19">
        <v>44929</v>
      </c>
      <c r="J4" s="20">
        <f t="shared" si="0"/>
        <v>44927</v>
      </c>
      <c r="K4" s="21">
        <v>199</v>
      </c>
      <c r="L4" s="21">
        <v>59</v>
      </c>
      <c r="M4" s="19">
        <v>44929</v>
      </c>
      <c r="N4" s="21">
        <f t="shared" si="1"/>
        <v>258</v>
      </c>
      <c r="O4" s="19">
        <v>44965</v>
      </c>
      <c r="P4" s="18" t="str">
        <f>IF(OR(O4="",O4&gt;Assumptions!$B$2),"Active","Churned")</f>
        <v>Active</v>
      </c>
      <c r="Q4" s="18" t="str">
        <f t="shared" si="2"/>
        <v>Yes</v>
      </c>
      <c r="R4" s="21">
        <f t="shared" si="3"/>
        <v>3096</v>
      </c>
      <c r="S4" s="21">
        <f t="shared" si="4"/>
        <v>0</v>
      </c>
      <c r="T4" s="20">
        <f t="shared" si="5"/>
        <v>44927</v>
      </c>
      <c r="U4" s="20">
        <f t="shared" si="6"/>
        <v>44927</v>
      </c>
      <c r="V4" s="20">
        <f t="shared" si="7"/>
        <v>44958</v>
      </c>
      <c r="W4" s="20">
        <f t="shared" si="8"/>
        <v>73020</v>
      </c>
      <c r="X4" s="20">
        <f t="shared" si="9"/>
        <v>44958</v>
      </c>
    </row>
    <row r="5" spans="1:24" x14ac:dyDescent="0.35">
      <c r="A5" s="18" t="s">
        <v>72</v>
      </c>
      <c r="B5" s="18" t="s">
        <v>73</v>
      </c>
      <c r="C5" s="18" t="s">
        <v>74</v>
      </c>
      <c r="D5" s="18" t="s">
        <v>75</v>
      </c>
      <c r="E5" s="18" t="s">
        <v>76</v>
      </c>
      <c r="F5" s="18" t="s">
        <v>77</v>
      </c>
      <c r="G5" s="18" t="s">
        <v>57</v>
      </c>
      <c r="H5" s="18" t="s">
        <v>78</v>
      </c>
      <c r="I5" s="19">
        <v>45115</v>
      </c>
      <c r="J5" s="20">
        <f t="shared" si="0"/>
        <v>45108</v>
      </c>
      <c r="K5" s="21">
        <v>499</v>
      </c>
      <c r="L5" s="21">
        <v>150</v>
      </c>
      <c r="M5" s="19">
        <v>45190</v>
      </c>
      <c r="N5" s="21">
        <f t="shared" si="1"/>
        <v>649</v>
      </c>
      <c r="O5" s="19"/>
      <c r="P5" s="18" t="str">
        <f>IF(OR(O5="",O5&gt;Assumptions!$B$2),"Active","Churned")</f>
        <v>Active</v>
      </c>
      <c r="Q5" s="18" t="str">
        <f t="shared" si="2"/>
        <v>Yes</v>
      </c>
      <c r="R5" s="21">
        <f t="shared" si="3"/>
        <v>7788</v>
      </c>
      <c r="S5" s="21">
        <f t="shared" si="4"/>
        <v>5988</v>
      </c>
      <c r="T5" s="20">
        <f t="shared" si="5"/>
        <v>45108</v>
      </c>
      <c r="U5" s="20">
        <f t="shared" si="6"/>
        <v>45170</v>
      </c>
      <c r="V5" s="20" t="str">
        <f t="shared" si="7"/>
        <v/>
      </c>
      <c r="W5" s="20">
        <f t="shared" si="8"/>
        <v>45474</v>
      </c>
      <c r="X5" s="20">
        <f t="shared" si="9"/>
        <v>45474</v>
      </c>
    </row>
    <row r="6" spans="1:24" x14ac:dyDescent="0.35">
      <c r="A6" s="18" t="s">
        <v>79</v>
      </c>
      <c r="B6" s="18" t="s">
        <v>80</v>
      </c>
      <c r="C6" s="18" t="s">
        <v>81</v>
      </c>
      <c r="D6" s="18" t="s">
        <v>54</v>
      </c>
      <c r="E6" s="18" t="s">
        <v>55</v>
      </c>
      <c r="F6" s="18" t="s">
        <v>77</v>
      </c>
      <c r="G6" s="18" t="s">
        <v>57</v>
      </c>
      <c r="H6" s="18" t="s">
        <v>58</v>
      </c>
      <c r="I6" s="19">
        <v>45008</v>
      </c>
      <c r="J6" s="20">
        <f t="shared" si="0"/>
        <v>44986</v>
      </c>
      <c r="K6" s="21">
        <v>499</v>
      </c>
      <c r="L6" s="21">
        <v>87</v>
      </c>
      <c r="M6" s="19">
        <v>45038</v>
      </c>
      <c r="N6" s="21">
        <f t="shared" si="1"/>
        <v>586</v>
      </c>
      <c r="O6" s="19"/>
      <c r="P6" s="18" t="str">
        <f>IF(OR(O6="",O6&gt;Assumptions!$B$2),"Active","Churned")</f>
        <v>Active</v>
      </c>
      <c r="Q6" s="18" t="str">
        <f t="shared" si="2"/>
        <v>Yes</v>
      </c>
      <c r="R6" s="21">
        <f t="shared" si="3"/>
        <v>7032</v>
      </c>
      <c r="S6" s="21">
        <f t="shared" si="4"/>
        <v>0</v>
      </c>
      <c r="T6" s="20">
        <f t="shared" si="5"/>
        <v>44986</v>
      </c>
      <c r="U6" s="20">
        <f t="shared" si="6"/>
        <v>45017</v>
      </c>
      <c r="V6" s="20" t="str">
        <f t="shared" si="7"/>
        <v/>
      </c>
      <c r="W6" s="20">
        <f t="shared" si="8"/>
        <v>73020</v>
      </c>
      <c r="X6" s="20">
        <f t="shared" si="9"/>
        <v>73020</v>
      </c>
    </row>
    <row r="7" spans="1:24" x14ac:dyDescent="0.35">
      <c r="A7" s="18" t="s">
        <v>82</v>
      </c>
      <c r="B7" s="18" t="s">
        <v>83</v>
      </c>
      <c r="C7" s="18" t="s">
        <v>84</v>
      </c>
      <c r="D7" s="18" t="s">
        <v>62</v>
      </c>
      <c r="E7" s="18" t="s">
        <v>63</v>
      </c>
      <c r="F7" s="18" t="s">
        <v>56</v>
      </c>
      <c r="G7" s="18" t="s">
        <v>57</v>
      </c>
      <c r="H7" s="18" t="s">
        <v>58</v>
      </c>
      <c r="I7" s="19">
        <v>45041</v>
      </c>
      <c r="J7" s="20">
        <f t="shared" si="0"/>
        <v>45017</v>
      </c>
      <c r="K7" s="21">
        <v>299</v>
      </c>
      <c r="L7" s="21">
        <v>26</v>
      </c>
      <c r="M7" s="19">
        <v>45086</v>
      </c>
      <c r="N7" s="21">
        <f t="shared" si="1"/>
        <v>325</v>
      </c>
      <c r="O7" s="19"/>
      <c r="P7" s="18" t="str">
        <f>IF(OR(O7="",O7&gt;Assumptions!$B$2),"Active","Churned")</f>
        <v>Active</v>
      </c>
      <c r="Q7" s="18" t="str">
        <f t="shared" si="2"/>
        <v>Yes</v>
      </c>
      <c r="R7" s="21">
        <f t="shared" si="3"/>
        <v>3900</v>
      </c>
      <c r="S7" s="21">
        <f t="shared" si="4"/>
        <v>0</v>
      </c>
      <c r="T7" s="20">
        <f t="shared" si="5"/>
        <v>45017</v>
      </c>
      <c r="U7" s="20">
        <f t="shared" si="6"/>
        <v>45078</v>
      </c>
      <c r="V7" s="20" t="str">
        <f t="shared" si="7"/>
        <v/>
      </c>
      <c r="W7" s="20">
        <f t="shared" si="8"/>
        <v>73020</v>
      </c>
      <c r="X7" s="20">
        <f t="shared" si="9"/>
        <v>73020</v>
      </c>
    </row>
    <row r="8" spans="1:24" x14ac:dyDescent="0.35">
      <c r="A8" s="18" t="s">
        <v>85</v>
      </c>
      <c r="B8" s="18" t="s">
        <v>86</v>
      </c>
      <c r="C8" s="18" t="s">
        <v>87</v>
      </c>
      <c r="D8" s="18" t="s">
        <v>68</v>
      </c>
      <c r="E8" s="18" t="s">
        <v>69</v>
      </c>
      <c r="F8" s="18" t="s">
        <v>56</v>
      </c>
      <c r="G8" s="18" t="s">
        <v>57</v>
      </c>
      <c r="H8" s="18" t="s">
        <v>58</v>
      </c>
      <c r="I8" s="19">
        <v>44969</v>
      </c>
      <c r="J8" s="20">
        <f t="shared" si="0"/>
        <v>44958</v>
      </c>
      <c r="K8" s="21">
        <v>299</v>
      </c>
      <c r="L8" s="21">
        <v>154</v>
      </c>
      <c r="M8" s="19">
        <v>45029</v>
      </c>
      <c r="N8" s="21">
        <f t="shared" si="1"/>
        <v>453</v>
      </c>
      <c r="O8" s="19"/>
      <c r="P8" s="18" t="str">
        <f>IF(OR(O8="",O8&gt;Assumptions!$B$2),"Active","Churned")</f>
        <v>Active</v>
      </c>
      <c r="Q8" s="18" t="str">
        <f t="shared" si="2"/>
        <v>Yes</v>
      </c>
      <c r="R8" s="21">
        <f t="shared" si="3"/>
        <v>5436</v>
      </c>
      <c r="S8" s="21">
        <f t="shared" si="4"/>
        <v>0</v>
      </c>
      <c r="T8" s="20">
        <f t="shared" si="5"/>
        <v>44958</v>
      </c>
      <c r="U8" s="20">
        <f t="shared" si="6"/>
        <v>45017</v>
      </c>
      <c r="V8" s="20" t="str">
        <f t="shared" si="7"/>
        <v/>
      </c>
      <c r="W8" s="20">
        <f t="shared" si="8"/>
        <v>73020</v>
      </c>
      <c r="X8" s="20">
        <f t="shared" si="9"/>
        <v>73020</v>
      </c>
    </row>
    <row r="9" spans="1:24" x14ac:dyDescent="0.35">
      <c r="A9" s="18" t="s">
        <v>88</v>
      </c>
      <c r="B9" s="18" t="s">
        <v>89</v>
      </c>
      <c r="C9" s="18" t="s">
        <v>90</v>
      </c>
      <c r="D9" s="18" t="s">
        <v>75</v>
      </c>
      <c r="E9" s="18" t="s">
        <v>76</v>
      </c>
      <c r="F9" s="18" t="s">
        <v>91</v>
      </c>
      <c r="G9" s="18" t="s">
        <v>71</v>
      </c>
      <c r="H9" s="18" t="s">
        <v>58</v>
      </c>
      <c r="I9" s="19">
        <v>45156</v>
      </c>
      <c r="J9" s="20">
        <f t="shared" si="0"/>
        <v>45139</v>
      </c>
      <c r="K9" s="21">
        <v>99</v>
      </c>
      <c r="L9" s="21">
        <v>96</v>
      </c>
      <c r="M9" s="19">
        <v>45231</v>
      </c>
      <c r="N9" s="21">
        <f t="shared" si="1"/>
        <v>195</v>
      </c>
      <c r="O9" s="19"/>
      <c r="P9" s="18" t="str">
        <f>IF(OR(O9="",O9&gt;Assumptions!$B$2),"Active","Churned")</f>
        <v>Active</v>
      </c>
      <c r="Q9" s="18" t="str">
        <f t="shared" si="2"/>
        <v>Yes</v>
      </c>
      <c r="R9" s="21">
        <f t="shared" si="3"/>
        <v>2340</v>
      </c>
      <c r="S9" s="21">
        <f t="shared" si="4"/>
        <v>0</v>
      </c>
      <c r="T9" s="20">
        <f t="shared" si="5"/>
        <v>45139</v>
      </c>
      <c r="U9" s="20">
        <f t="shared" si="6"/>
        <v>45231</v>
      </c>
      <c r="V9" s="20" t="str">
        <f t="shared" si="7"/>
        <v/>
      </c>
      <c r="W9" s="20">
        <f t="shared" si="8"/>
        <v>73020</v>
      </c>
      <c r="X9" s="20">
        <f t="shared" si="9"/>
        <v>73020</v>
      </c>
    </row>
    <row r="10" spans="1:24" x14ac:dyDescent="0.35">
      <c r="A10" s="18" t="s">
        <v>92</v>
      </c>
      <c r="B10" s="18" t="s">
        <v>93</v>
      </c>
      <c r="C10" s="18" t="s">
        <v>53</v>
      </c>
      <c r="D10" s="18" t="s">
        <v>54</v>
      </c>
      <c r="E10" s="18" t="s">
        <v>55</v>
      </c>
      <c r="F10" s="18" t="s">
        <v>70</v>
      </c>
      <c r="G10" s="18" t="s">
        <v>71</v>
      </c>
      <c r="H10" s="18" t="s">
        <v>58</v>
      </c>
      <c r="I10" s="19">
        <v>45096</v>
      </c>
      <c r="J10" s="20">
        <f t="shared" si="0"/>
        <v>45078</v>
      </c>
      <c r="K10" s="21">
        <v>199</v>
      </c>
      <c r="L10" s="21">
        <v>180</v>
      </c>
      <c r="M10" s="19">
        <v>45126</v>
      </c>
      <c r="N10" s="21">
        <f t="shared" si="1"/>
        <v>379</v>
      </c>
      <c r="O10" s="19"/>
      <c r="P10" s="18" t="str">
        <f>IF(OR(O10="",O10&gt;Assumptions!$B$2),"Active","Churned")</f>
        <v>Active</v>
      </c>
      <c r="Q10" s="18" t="str">
        <f t="shared" si="2"/>
        <v>Yes</v>
      </c>
      <c r="R10" s="21">
        <f t="shared" si="3"/>
        <v>4548</v>
      </c>
      <c r="S10" s="21">
        <f t="shared" si="4"/>
        <v>0</v>
      </c>
      <c r="T10" s="20">
        <f t="shared" si="5"/>
        <v>45078</v>
      </c>
      <c r="U10" s="20">
        <f t="shared" si="6"/>
        <v>45108</v>
      </c>
      <c r="V10" s="20" t="str">
        <f t="shared" si="7"/>
        <v/>
      </c>
      <c r="W10" s="20">
        <f t="shared" si="8"/>
        <v>73020</v>
      </c>
      <c r="X10" s="20">
        <f t="shared" si="9"/>
        <v>73020</v>
      </c>
    </row>
    <row r="11" spans="1:24" x14ac:dyDescent="0.35">
      <c r="A11" s="18" t="s">
        <v>94</v>
      </c>
      <c r="B11" s="18" t="s">
        <v>95</v>
      </c>
      <c r="C11" s="18" t="s">
        <v>61</v>
      </c>
      <c r="D11" s="18" t="s">
        <v>62</v>
      </c>
      <c r="E11" s="18" t="s">
        <v>63</v>
      </c>
      <c r="F11" s="18" t="s">
        <v>56</v>
      </c>
      <c r="G11" s="18" t="s">
        <v>57</v>
      </c>
      <c r="H11" s="18" t="s">
        <v>58</v>
      </c>
      <c r="I11" s="19">
        <v>45041</v>
      </c>
      <c r="J11" s="20">
        <f t="shared" si="0"/>
        <v>45017</v>
      </c>
      <c r="K11" s="21">
        <v>299</v>
      </c>
      <c r="L11" s="21">
        <v>20</v>
      </c>
      <c r="M11" s="19">
        <v>45086</v>
      </c>
      <c r="N11" s="21">
        <f t="shared" si="1"/>
        <v>319</v>
      </c>
      <c r="O11" s="19"/>
      <c r="P11" s="18" t="str">
        <f>IF(OR(O11="",O11&gt;Assumptions!$B$2),"Active","Churned")</f>
        <v>Active</v>
      </c>
      <c r="Q11" s="18" t="str">
        <f t="shared" si="2"/>
        <v>Yes</v>
      </c>
      <c r="R11" s="21">
        <f t="shared" si="3"/>
        <v>3828</v>
      </c>
      <c r="S11" s="21">
        <f t="shared" si="4"/>
        <v>0</v>
      </c>
      <c r="T11" s="20">
        <f t="shared" si="5"/>
        <v>45017</v>
      </c>
      <c r="U11" s="20">
        <f t="shared" si="6"/>
        <v>45078</v>
      </c>
      <c r="V11" s="20" t="str">
        <f t="shared" si="7"/>
        <v/>
      </c>
      <c r="W11" s="20">
        <f t="shared" si="8"/>
        <v>73020</v>
      </c>
      <c r="X11" s="20">
        <f t="shared" si="9"/>
        <v>73020</v>
      </c>
    </row>
    <row r="12" spans="1:24" x14ac:dyDescent="0.35">
      <c r="A12" s="18" t="s">
        <v>96</v>
      </c>
      <c r="B12" s="18" t="s">
        <v>97</v>
      </c>
      <c r="C12" s="18" t="s">
        <v>67</v>
      </c>
      <c r="D12" s="18" t="s">
        <v>68</v>
      </c>
      <c r="E12" s="18" t="s">
        <v>69</v>
      </c>
      <c r="F12" s="18" t="s">
        <v>77</v>
      </c>
      <c r="G12" s="18" t="s">
        <v>57</v>
      </c>
      <c r="H12" s="18" t="s">
        <v>58</v>
      </c>
      <c r="I12" s="19">
        <v>45116</v>
      </c>
      <c r="J12" s="20">
        <f t="shared" si="0"/>
        <v>45108</v>
      </c>
      <c r="K12" s="21">
        <v>499</v>
      </c>
      <c r="L12" s="21">
        <v>162</v>
      </c>
      <c r="M12" s="19">
        <v>45176</v>
      </c>
      <c r="N12" s="21">
        <f t="shared" si="1"/>
        <v>661</v>
      </c>
      <c r="O12" s="19"/>
      <c r="P12" s="18" t="str">
        <f>IF(OR(O12="",O12&gt;Assumptions!$B$2),"Active","Churned")</f>
        <v>Active</v>
      </c>
      <c r="Q12" s="18" t="str">
        <f t="shared" si="2"/>
        <v>Yes</v>
      </c>
      <c r="R12" s="21">
        <f t="shared" si="3"/>
        <v>7932</v>
      </c>
      <c r="S12" s="21">
        <f t="shared" si="4"/>
        <v>0</v>
      </c>
      <c r="T12" s="20">
        <f t="shared" si="5"/>
        <v>45108</v>
      </c>
      <c r="U12" s="20">
        <f t="shared" si="6"/>
        <v>45170</v>
      </c>
      <c r="V12" s="20" t="str">
        <f t="shared" si="7"/>
        <v/>
      </c>
      <c r="W12" s="20">
        <f t="shared" si="8"/>
        <v>73020</v>
      </c>
      <c r="X12" s="20">
        <f t="shared" si="9"/>
        <v>73020</v>
      </c>
    </row>
    <row r="13" spans="1:24" x14ac:dyDescent="0.35">
      <c r="A13" s="18" t="s">
        <v>98</v>
      </c>
      <c r="B13" s="18" t="s">
        <v>99</v>
      </c>
      <c r="C13" s="18" t="s">
        <v>74</v>
      </c>
      <c r="D13" s="18" t="s">
        <v>75</v>
      </c>
      <c r="E13" s="18" t="s">
        <v>76</v>
      </c>
      <c r="F13" s="18" t="s">
        <v>70</v>
      </c>
      <c r="G13" s="18" t="s">
        <v>71</v>
      </c>
      <c r="H13" s="18" t="s">
        <v>58</v>
      </c>
      <c r="I13" s="19">
        <v>45089</v>
      </c>
      <c r="J13" s="20">
        <f t="shared" si="0"/>
        <v>45078</v>
      </c>
      <c r="K13" s="21">
        <v>199</v>
      </c>
      <c r="L13" s="21">
        <v>171</v>
      </c>
      <c r="M13" s="19">
        <v>45164</v>
      </c>
      <c r="N13" s="21">
        <f t="shared" si="1"/>
        <v>370</v>
      </c>
      <c r="O13" s="19"/>
      <c r="P13" s="18" t="str">
        <f>IF(OR(O13="",O13&gt;Assumptions!$B$2),"Active","Churned")</f>
        <v>Active</v>
      </c>
      <c r="Q13" s="18" t="str">
        <f t="shared" si="2"/>
        <v>Yes</v>
      </c>
      <c r="R13" s="21">
        <f t="shared" si="3"/>
        <v>4440</v>
      </c>
      <c r="S13" s="21">
        <f t="shared" si="4"/>
        <v>0</v>
      </c>
      <c r="T13" s="20">
        <f t="shared" si="5"/>
        <v>45078</v>
      </c>
      <c r="U13" s="20">
        <f t="shared" si="6"/>
        <v>45139</v>
      </c>
      <c r="V13" s="20" t="str">
        <f t="shared" si="7"/>
        <v/>
      </c>
      <c r="W13" s="20">
        <f t="shared" si="8"/>
        <v>73020</v>
      </c>
      <c r="X13" s="20">
        <f t="shared" si="9"/>
        <v>73020</v>
      </c>
    </row>
    <row r="14" spans="1:24" x14ac:dyDescent="0.35">
      <c r="A14" s="18" t="s">
        <v>100</v>
      </c>
      <c r="B14" s="18" t="s">
        <v>101</v>
      </c>
      <c r="C14" s="18" t="s">
        <v>81</v>
      </c>
      <c r="D14" s="18" t="s">
        <v>54</v>
      </c>
      <c r="E14" s="18" t="s">
        <v>55</v>
      </c>
      <c r="F14" s="18" t="s">
        <v>70</v>
      </c>
      <c r="G14" s="18" t="s">
        <v>71</v>
      </c>
      <c r="H14" s="18" t="s">
        <v>58</v>
      </c>
      <c r="I14" s="19">
        <v>45003</v>
      </c>
      <c r="J14" s="20">
        <f t="shared" si="0"/>
        <v>44986</v>
      </c>
      <c r="K14" s="21">
        <v>199</v>
      </c>
      <c r="L14" s="21">
        <v>41</v>
      </c>
      <c r="M14" s="19">
        <v>45033</v>
      </c>
      <c r="N14" s="21">
        <f t="shared" si="1"/>
        <v>240</v>
      </c>
      <c r="O14" s="19"/>
      <c r="P14" s="18" t="str">
        <f>IF(OR(O14="",O14&gt;Assumptions!$B$2),"Active","Churned")</f>
        <v>Active</v>
      </c>
      <c r="Q14" s="18" t="str">
        <f t="shared" si="2"/>
        <v>Yes</v>
      </c>
      <c r="R14" s="21">
        <f t="shared" si="3"/>
        <v>2880</v>
      </c>
      <c r="S14" s="21">
        <f t="shared" si="4"/>
        <v>0</v>
      </c>
      <c r="T14" s="20">
        <f t="shared" si="5"/>
        <v>44986</v>
      </c>
      <c r="U14" s="20">
        <f t="shared" si="6"/>
        <v>45017</v>
      </c>
      <c r="V14" s="20" t="str">
        <f t="shared" si="7"/>
        <v/>
      </c>
      <c r="W14" s="20">
        <f t="shared" si="8"/>
        <v>73020</v>
      </c>
      <c r="X14" s="20">
        <f t="shared" si="9"/>
        <v>73020</v>
      </c>
    </row>
    <row r="15" spans="1:24" x14ac:dyDescent="0.35">
      <c r="A15" s="18" t="s">
        <v>102</v>
      </c>
      <c r="B15" s="18" t="s">
        <v>103</v>
      </c>
      <c r="C15" s="18" t="s">
        <v>84</v>
      </c>
      <c r="D15" s="18" t="s">
        <v>62</v>
      </c>
      <c r="E15" s="18" t="s">
        <v>63</v>
      </c>
      <c r="F15" s="18" t="s">
        <v>64</v>
      </c>
      <c r="G15" s="18" t="s">
        <v>64</v>
      </c>
      <c r="H15" s="18" t="s">
        <v>78</v>
      </c>
      <c r="I15" s="19">
        <v>45067</v>
      </c>
      <c r="J15" s="20">
        <f t="shared" si="0"/>
        <v>45047</v>
      </c>
      <c r="K15" s="21">
        <v>799</v>
      </c>
      <c r="L15" s="21">
        <v>56</v>
      </c>
      <c r="M15" s="19">
        <v>45112</v>
      </c>
      <c r="N15" s="21">
        <f t="shared" si="1"/>
        <v>855</v>
      </c>
      <c r="O15" s="19"/>
      <c r="P15" s="18" t="str">
        <f>IF(OR(O15="",O15&gt;Assumptions!$B$2),"Active","Churned")</f>
        <v>Active</v>
      </c>
      <c r="Q15" s="18" t="str">
        <f t="shared" si="2"/>
        <v>Yes</v>
      </c>
      <c r="R15" s="21">
        <f t="shared" si="3"/>
        <v>10260</v>
      </c>
      <c r="S15" s="21">
        <f t="shared" si="4"/>
        <v>9588</v>
      </c>
      <c r="T15" s="20">
        <f t="shared" si="5"/>
        <v>45047</v>
      </c>
      <c r="U15" s="20">
        <f t="shared" si="6"/>
        <v>45108</v>
      </c>
      <c r="V15" s="20" t="str">
        <f t="shared" si="7"/>
        <v/>
      </c>
      <c r="W15" s="20">
        <f t="shared" si="8"/>
        <v>45413</v>
      </c>
      <c r="X15" s="20">
        <f t="shared" si="9"/>
        <v>45413</v>
      </c>
    </row>
    <row r="16" spans="1:24" x14ac:dyDescent="0.35">
      <c r="A16" s="18" t="s">
        <v>104</v>
      </c>
      <c r="B16" s="18" t="s">
        <v>105</v>
      </c>
      <c r="C16" s="18" t="s">
        <v>87</v>
      </c>
      <c r="D16" s="18" t="s">
        <v>68</v>
      </c>
      <c r="E16" s="18" t="s">
        <v>69</v>
      </c>
      <c r="F16" s="18" t="s">
        <v>91</v>
      </c>
      <c r="G16" s="18" t="s">
        <v>71</v>
      </c>
      <c r="H16" s="18" t="s">
        <v>58</v>
      </c>
      <c r="I16" s="19">
        <v>44934</v>
      </c>
      <c r="J16" s="20">
        <f t="shared" si="0"/>
        <v>44927</v>
      </c>
      <c r="K16" s="21">
        <v>99</v>
      </c>
      <c r="L16" s="21">
        <v>80</v>
      </c>
      <c r="M16" s="19">
        <v>44994</v>
      </c>
      <c r="N16" s="21">
        <f t="shared" si="1"/>
        <v>179</v>
      </c>
      <c r="O16" s="19"/>
      <c r="P16" s="18" t="str">
        <f>IF(OR(O16="",O16&gt;Assumptions!$B$2),"Active","Churned")</f>
        <v>Active</v>
      </c>
      <c r="Q16" s="18" t="str">
        <f t="shared" si="2"/>
        <v>Yes</v>
      </c>
      <c r="R16" s="21">
        <f t="shared" si="3"/>
        <v>2148</v>
      </c>
      <c r="S16" s="21">
        <f t="shared" si="4"/>
        <v>0</v>
      </c>
      <c r="T16" s="20">
        <f t="shared" si="5"/>
        <v>44927</v>
      </c>
      <c r="U16" s="20">
        <f t="shared" si="6"/>
        <v>44986</v>
      </c>
      <c r="V16" s="20" t="str">
        <f t="shared" si="7"/>
        <v/>
      </c>
      <c r="W16" s="20">
        <f t="shared" si="8"/>
        <v>73020</v>
      </c>
      <c r="X16" s="20">
        <f t="shared" si="9"/>
        <v>73020</v>
      </c>
    </row>
    <row r="17" spans="1:24" x14ac:dyDescent="0.35">
      <c r="A17" s="18" t="s">
        <v>106</v>
      </c>
      <c r="B17" s="18" t="s">
        <v>107</v>
      </c>
      <c r="C17" s="18" t="s">
        <v>90</v>
      </c>
      <c r="D17" s="18" t="s">
        <v>75</v>
      </c>
      <c r="E17" s="18" t="s">
        <v>76</v>
      </c>
      <c r="F17" s="18" t="s">
        <v>64</v>
      </c>
      <c r="G17" s="18" t="s">
        <v>64</v>
      </c>
      <c r="H17" s="18" t="s">
        <v>78</v>
      </c>
      <c r="I17" s="19">
        <v>44964</v>
      </c>
      <c r="J17" s="20">
        <f t="shared" si="0"/>
        <v>44958</v>
      </c>
      <c r="K17" s="21">
        <v>799</v>
      </c>
      <c r="L17" s="21">
        <v>183</v>
      </c>
      <c r="M17" s="19">
        <v>45039</v>
      </c>
      <c r="N17" s="21">
        <f t="shared" si="1"/>
        <v>982</v>
      </c>
      <c r="O17" s="19"/>
      <c r="P17" s="18" t="str">
        <f>IF(OR(O17="",O17&gt;Assumptions!$B$2),"Active","Churned")</f>
        <v>Active</v>
      </c>
      <c r="Q17" s="18" t="str">
        <f t="shared" si="2"/>
        <v>Yes</v>
      </c>
      <c r="R17" s="21">
        <f t="shared" si="3"/>
        <v>11784</v>
      </c>
      <c r="S17" s="21">
        <f t="shared" si="4"/>
        <v>9588</v>
      </c>
      <c r="T17" s="20">
        <f t="shared" si="5"/>
        <v>44958</v>
      </c>
      <c r="U17" s="20">
        <f t="shared" si="6"/>
        <v>45017</v>
      </c>
      <c r="V17" s="20" t="str">
        <f t="shared" si="7"/>
        <v/>
      </c>
      <c r="W17" s="20">
        <f t="shared" si="8"/>
        <v>45323</v>
      </c>
      <c r="X17" s="20">
        <f t="shared" si="9"/>
        <v>45323</v>
      </c>
    </row>
    <row r="18" spans="1:24" x14ac:dyDescent="0.35">
      <c r="A18" s="18" t="s">
        <v>108</v>
      </c>
      <c r="B18" s="18" t="s">
        <v>109</v>
      </c>
      <c r="C18" s="18" t="s">
        <v>53</v>
      </c>
      <c r="D18" s="18" t="s">
        <v>54</v>
      </c>
      <c r="E18" s="18" t="s">
        <v>55</v>
      </c>
      <c r="F18" s="18" t="s">
        <v>77</v>
      </c>
      <c r="G18" s="18" t="s">
        <v>57</v>
      </c>
      <c r="H18" s="18" t="s">
        <v>58</v>
      </c>
      <c r="I18" s="19">
        <v>45151</v>
      </c>
      <c r="J18" s="20">
        <f t="shared" si="0"/>
        <v>45139</v>
      </c>
      <c r="K18" s="21">
        <v>499</v>
      </c>
      <c r="L18" s="21">
        <v>36</v>
      </c>
      <c r="M18" s="19">
        <v>45181</v>
      </c>
      <c r="N18" s="21">
        <f t="shared" si="1"/>
        <v>535</v>
      </c>
      <c r="O18" s="19"/>
      <c r="P18" s="18" t="str">
        <f>IF(OR(O18="",O18&gt;Assumptions!$B$2),"Active","Churned")</f>
        <v>Active</v>
      </c>
      <c r="Q18" s="18" t="str">
        <f t="shared" si="2"/>
        <v>Yes</v>
      </c>
      <c r="R18" s="21">
        <f t="shared" si="3"/>
        <v>6420</v>
      </c>
      <c r="S18" s="21">
        <f t="shared" si="4"/>
        <v>0</v>
      </c>
      <c r="T18" s="20">
        <f t="shared" si="5"/>
        <v>45139</v>
      </c>
      <c r="U18" s="20">
        <f t="shared" si="6"/>
        <v>45170</v>
      </c>
      <c r="V18" s="20" t="str">
        <f t="shared" si="7"/>
        <v/>
      </c>
      <c r="W18" s="20">
        <f t="shared" si="8"/>
        <v>73020</v>
      </c>
      <c r="X18" s="20">
        <f t="shared" si="9"/>
        <v>73020</v>
      </c>
    </row>
    <row r="19" spans="1:24" x14ac:dyDescent="0.35">
      <c r="A19" s="18" t="s">
        <v>110</v>
      </c>
      <c r="B19" s="18" t="s">
        <v>111</v>
      </c>
      <c r="C19" s="18" t="s">
        <v>61</v>
      </c>
      <c r="D19" s="18" t="s">
        <v>62</v>
      </c>
      <c r="E19" s="18" t="s">
        <v>63</v>
      </c>
      <c r="F19" s="18" t="s">
        <v>64</v>
      </c>
      <c r="G19" s="18" t="s">
        <v>64</v>
      </c>
      <c r="H19" s="18" t="s">
        <v>78</v>
      </c>
      <c r="I19" s="19">
        <v>45040</v>
      </c>
      <c r="J19" s="20">
        <f t="shared" si="0"/>
        <v>45017</v>
      </c>
      <c r="K19" s="21">
        <v>799</v>
      </c>
      <c r="L19" s="21">
        <v>137</v>
      </c>
      <c r="M19" s="19">
        <v>45085</v>
      </c>
      <c r="N19" s="21">
        <f t="shared" si="1"/>
        <v>936</v>
      </c>
      <c r="O19" s="19"/>
      <c r="P19" s="18" t="str">
        <f>IF(OR(O19="",O19&gt;Assumptions!$B$2),"Active","Churned")</f>
        <v>Active</v>
      </c>
      <c r="Q19" s="18" t="str">
        <f t="shared" si="2"/>
        <v>Yes</v>
      </c>
      <c r="R19" s="21">
        <f t="shared" si="3"/>
        <v>11232</v>
      </c>
      <c r="S19" s="21">
        <f t="shared" si="4"/>
        <v>9588</v>
      </c>
      <c r="T19" s="20">
        <f t="shared" si="5"/>
        <v>45017</v>
      </c>
      <c r="U19" s="20">
        <f t="shared" si="6"/>
        <v>45078</v>
      </c>
      <c r="V19" s="20" t="str">
        <f t="shared" si="7"/>
        <v/>
      </c>
      <c r="W19" s="20">
        <f t="shared" si="8"/>
        <v>45383</v>
      </c>
      <c r="X19" s="20">
        <f t="shared" si="9"/>
        <v>45383</v>
      </c>
    </row>
    <row r="20" spans="1:24" x14ac:dyDescent="0.35">
      <c r="A20" s="18" t="s">
        <v>112</v>
      </c>
      <c r="B20" s="18" t="s">
        <v>113</v>
      </c>
      <c r="C20" s="18" t="s">
        <v>67</v>
      </c>
      <c r="D20" s="18" t="s">
        <v>68</v>
      </c>
      <c r="E20" s="18" t="s">
        <v>69</v>
      </c>
      <c r="F20" s="18" t="s">
        <v>70</v>
      </c>
      <c r="G20" s="18" t="s">
        <v>71</v>
      </c>
      <c r="H20" s="18" t="s">
        <v>58</v>
      </c>
      <c r="I20" s="19">
        <v>45119</v>
      </c>
      <c r="J20" s="20">
        <f t="shared" si="0"/>
        <v>45108</v>
      </c>
      <c r="K20" s="21">
        <v>199</v>
      </c>
      <c r="L20" s="21">
        <v>35</v>
      </c>
      <c r="M20" s="19">
        <v>45179</v>
      </c>
      <c r="N20" s="21">
        <f t="shared" si="1"/>
        <v>234</v>
      </c>
      <c r="O20" s="19">
        <v>45275</v>
      </c>
      <c r="P20" s="18" t="str">
        <f>IF(OR(O20="",O20&gt;Assumptions!$B$2),"Active","Churned")</f>
        <v>Active</v>
      </c>
      <c r="Q20" s="18" t="str">
        <f t="shared" si="2"/>
        <v>Yes</v>
      </c>
      <c r="R20" s="21">
        <f t="shared" si="3"/>
        <v>2808</v>
      </c>
      <c r="S20" s="21">
        <f t="shared" si="4"/>
        <v>0</v>
      </c>
      <c r="T20" s="20">
        <f t="shared" si="5"/>
        <v>45108</v>
      </c>
      <c r="U20" s="20">
        <f t="shared" si="6"/>
        <v>45170</v>
      </c>
      <c r="V20" s="20">
        <f t="shared" si="7"/>
        <v>45261</v>
      </c>
      <c r="W20" s="20">
        <f t="shared" si="8"/>
        <v>73020</v>
      </c>
      <c r="X20" s="20">
        <f t="shared" si="9"/>
        <v>45261</v>
      </c>
    </row>
    <row r="21" spans="1:24" x14ac:dyDescent="0.35">
      <c r="A21" s="18" t="s">
        <v>114</v>
      </c>
      <c r="B21" s="18" t="s">
        <v>115</v>
      </c>
      <c r="C21" s="18" t="s">
        <v>74</v>
      </c>
      <c r="D21" s="18" t="s">
        <v>75</v>
      </c>
      <c r="E21" s="18" t="s">
        <v>76</v>
      </c>
      <c r="F21" s="18" t="s">
        <v>91</v>
      </c>
      <c r="G21" s="18" t="s">
        <v>71</v>
      </c>
      <c r="H21" s="18" t="s">
        <v>58</v>
      </c>
      <c r="I21" s="19">
        <v>44954</v>
      </c>
      <c r="J21" s="20">
        <f t="shared" si="0"/>
        <v>44927</v>
      </c>
      <c r="K21" s="21">
        <v>99</v>
      </c>
      <c r="L21" s="21">
        <v>39</v>
      </c>
      <c r="M21" s="19">
        <v>45029</v>
      </c>
      <c r="N21" s="21">
        <f t="shared" si="1"/>
        <v>138</v>
      </c>
      <c r="O21" s="19"/>
      <c r="P21" s="18" t="str">
        <f>IF(OR(O21="",O21&gt;Assumptions!$B$2),"Active","Churned")</f>
        <v>Active</v>
      </c>
      <c r="Q21" s="18" t="str">
        <f t="shared" si="2"/>
        <v>Yes</v>
      </c>
      <c r="R21" s="21">
        <f t="shared" si="3"/>
        <v>1656</v>
      </c>
      <c r="S21" s="21">
        <f t="shared" si="4"/>
        <v>0</v>
      </c>
      <c r="T21" s="20">
        <f t="shared" si="5"/>
        <v>44927</v>
      </c>
      <c r="U21" s="20">
        <f t="shared" si="6"/>
        <v>45017</v>
      </c>
      <c r="V21" s="20" t="str">
        <f t="shared" si="7"/>
        <v/>
      </c>
      <c r="W21" s="20">
        <f t="shared" si="8"/>
        <v>73020</v>
      </c>
      <c r="X21" s="20">
        <f t="shared" si="9"/>
        <v>73020</v>
      </c>
    </row>
    <row r="22" spans="1:24" x14ac:dyDescent="0.35">
      <c r="A22" s="18" t="s">
        <v>116</v>
      </c>
      <c r="B22" s="18" t="s">
        <v>117</v>
      </c>
      <c r="C22" s="18" t="s">
        <v>81</v>
      </c>
      <c r="D22" s="18" t="s">
        <v>54</v>
      </c>
      <c r="E22" s="18" t="s">
        <v>55</v>
      </c>
      <c r="F22" s="18" t="s">
        <v>91</v>
      </c>
      <c r="G22" s="18" t="s">
        <v>71</v>
      </c>
      <c r="H22" s="18" t="s">
        <v>58</v>
      </c>
      <c r="I22" s="19">
        <v>45127</v>
      </c>
      <c r="J22" s="20">
        <f t="shared" si="0"/>
        <v>45108</v>
      </c>
      <c r="K22" s="21">
        <v>99</v>
      </c>
      <c r="L22" s="21">
        <v>98</v>
      </c>
      <c r="M22" s="19">
        <v>45157</v>
      </c>
      <c r="N22" s="21">
        <f t="shared" si="1"/>
        <v>197</v>
      </c>
      <c r="O22" s="19"/>
      <c r="P22" s="18" t="str">
        <f>IF(OR(O22="",O22&gt;Assumptions!$B$2),"Active","Churned")</f>
        <v>Active</v>
      </c>
      <c r="Q22" s="18" t="str">
        <f t="shared" si="2"/>
        <v>Yes</v>
      </c>
      <c r="R22" s="21">
        <f t="shared" si="3"/>
        <v>2364</v>
      </c>
      <c r="S22" s="21">
        <f t="shared" si="4"/>
        <v>0</v>
      </c>
      <c r="T22" s="20">
        <f t="shared" si="5"/>
        <v>45108</v>
      </c>
      <c r="U22" s="20">
        <f t="shared" si="6"/>
        <v>45139</v>
      </c>
      <c r="V22" s="20" t="str">
        <f t="shared" si="7"/>
        <v/>
      </c>
      <c r="W22" s="20">
        <f t="shared" si="8"/>
        <v>73020</v>
      </c>
      <c r="X22" s="20">
        <f t="shared" si="9"/>
        <v>73020</v>
      </c>
    </row>
    <row r="23" spans="1:24" x14ac:dyDescent="0.35">
      <c r="A23" s="18" t="s">
        <v>118</v>
      </c>
      <c r="B23" s="18" t="s">
        <v>119</v>
      </c>
      <c r="C23" s="18" t="s">
        <v>84</v>
      </c>
      <c r="D23" s="18" t="s">
        <v>62</v>
      </c>
      <c r="E23" s="18" t="s">
        <v>63</v>
      </c>
      <c r="F23" s="18" t="s">
        <v>91</v>
      </c>
      <c r="G23" s="18" t="s">
        <v>71</v>
      </c>
      <c r="H23" s="18" t="s">
        <v>58</v>
      </c>
      <c r="I23" s="19">
        <v>45064</v>
      </c>
      <c r="J23" s="20">
        <f t="shared" si="0"/>
        <v>45047</v>
      </c>
      <c r="K23" s="21">
        <v>99</v>
      </c>
      <c r="L23" s="21">
        <v>174</v>
      </c>
      <c r="M23" s="19">
        <v>45109</v>
      </c>
      <c r="N23" s="21">
        <f t="shared" si="1"/>
        <v>273</v>
      </c>
      <c r="O23" s="19"/>
      <c r="P23" s="18" t="str">
        <f>IF(OR(O23="",O23&gt;Assumptions!$B$2),"Active","Churned")</f>
        <v>Active</v>
      </c>
      <c r="Q23" s="18" t="str">
        <f t="shared" si="2"/>
        <v>Yes</v>
      </c>
      <c r="R23" s="21">
        <f t="shared" si="3"/>
        <v>3276</v>
      </c>
      <c r="S23" s="21">
        <f t="shared" si="4"/>
        <v>0</v>
      </c>
      <c r="T23" s="20">
        <f t="shared" si="5"/>
        <v>45047</v>
      </c>
      <c r="U23" s="20">
        <f t="shared" si="6"/>
        <v>45108</v>
      </c>
      <c r="V23" s="20" t="str">
        <f t="shared" si="7"/>
        <v/>
      </c>
      <c r="W23" s="20">
        <f t="shared" si="8"/>
        <v>73020</v>
      </c>
      <c r="X23" s="20">
        <f t="shared" si="9"/>
        <v>73020</v>
      </c>
    </row>
    <row r="24" spans="1:24" x14ac:dyDescent="0.35">
      <c r="A24" s="18" t="s">
        <v>120</v>
      </c>
      <c r="B24" s="18" t="s">
        <v>121</v>
      </c>
      <c r="C24" s="18" t="s">
        <v>87</v>
      </c>
      <c r="D24" s="18" t="s">
        <v>68</v>
      </c>
      <c r="E24" s="18" t="s">
        <v>69</v>
      </c>
      <c r="F24" s="18" t="s">
        <v>56</v>
      </c>
      <c r="G24" s="18" t="s">
        <v>57</v>
      </c>
      <c r="H24" s="18" t="s">
        <v>58</v>
      </c>
      <c r="I24" s="19">
        <v>45071</v>
      </c>
      <c r="J24" s="20">
        <f t="shared" si="0"/>
        <v>45047</v>
      </c>
      <c r="K24" s="21">
        <v>299</v>
      </c>
      <c r="L24" s="21">
        <v>28</v>
      </c>
      <c r="M24" s="19">
        <v>45131</v>
      </c>
      <c r="N24" s="21">
        <f t="shared" si="1"/>
        <v>327</v>
      </c>
      <c r="O24" s="19"/>
      <c r="P24" s="18" t="str">
        <f>IF(OR(O24="",O24&gt;Assumptions!$B$2),"Active","Churned")</f>
        <v>Active</v>
      </c>
      <c r="Q24" s="18" t="str">
        <f t="shared" si="2"/>
        <v>Yes</v>
      </c>
      <c r="R24" s="21">
        <f t="shared" si="3"/>
        <v>3924</v>
      </c>
      <c r="S24" s="21">
        <f t="shared" si="4"/>
        <v>0</v>
      </c>
      <c r="T24" s="20">
        <f t="shared" si="5"/>
        <v>45047</v>
      </c>
      <c r="U24" s="20">
        <f t="shared" si="6"/>
        <v>45108</v>
      </c>
      <c r="V24" s="20" t="str">
        <f t="shared" si="7"/>
        <v/>
      </c>
      <c r="W24" s="20">
        <f t="shared" si="8"/>
        <v>73020</v>
      </c>
      <c r="X24" s="20">
        <f t="shared" si="9"/>
        <v>73020</v>
      </c>
    </row>
    <row r="25" spans="1:24" x14ac:dyDescent="0.35">
      <c r="A25" s="18" t="s">
        <v>122</v>
      </c>
      <c r="B25" s="18" t="s">
        <v>123</v>
      </c>
      <c r="C25" s="18" t="s">
        <v>90</v>
      </c>
      <c r="D25" s="18" t="s">
        <v>75</v>
      </c>
      <c r="E25" s="18" t="s">
        <v>76</v>
      </c>
      <c r="F25" s="18" t="s">
        <v>91</v>
      </c>
      <c r="G25" s="18" t="s">
        <v>71</v>
      </c>
      <c r="H25" s="18" t="s">
        <v>58</v>
      </c>
      <c r="I25" s="19">
        <v>45000</v>
      </c>
      <c r="J25" s="20">
        <f t="shared" si="0"/>
        <v>44986</v>
      </c>
      <c r="K25" s="21">
        <v>99</v>
      </c>
      <c r="L25" s="21">
        <v>184</v>
      </c>
      <c r="M25" s="19">
        <v>45075</v>
      </c>
      <c r="N25" s="21">
        <f t="shared" si="1"/>
        <v>283</v>
      </c>
      <c r="O25" s="19"/>
      <c r="P25" s="18" t="str">
        <f>IF(OR(O25="",O25&gt;Assumptions!$B$2),"Active","Churned")</f>
        <v>Active</v>
      </c>
      <c r="Q25" s="18" t="str">
        <f t="shared" si="2"/>
        <v>Yes</v>
      </c>
      <c r="R25" s="21">
        <f t="shared" si="3"/>
        <v>3396</v>
      </c>
      <c r="S25" s="21">
        <f t="shared" si="4"/>
        <v>0</v>
      </c>
      <c r="T25" s="20">
        <f t="shared" si="5"/>
        <v>44986</v>
      </c>
      <c r="U25" s="20">
        <f t="shared" si="6"/>
        <v>45047</v>
      </c>
      <c r="V25" s="20" t="str">
        <f t="shared" si="7"/>
        <v/>
      </c>
      <c r="W25" s="20">
        <f t="shared" si="8"/>
        <v>73020</v>
      </c>
      <c r="X25" s="20">
        <f t="shared" si="9"/>
        <v>73020</v>
      </c>
    </row>
    <row r="26" spans="1:24" x14ac:dyDescent="0.35">
      <c r="A26" s="18" t="s">
        <v>124</v>
      </c>
      <c r="B26" s="18" t="s">
        <v>125</v>
      </c>
      <c r="C26" s="18" t="s">
        <v>53</v>
      </c>
      <c r="D26" s="18" t="s">
        <v>54</v>
      </c>
      <c r="E26" s="18" t="s">
        <v>55</v>
      </c>
      <c r="F26" s="18" t="s">
        <v>91</v>
      </c>
      <c r="G26" s="18" t="s">
        <v>71</v>
      </c>
      <c r="H26" s="18" t="s">
        <v>58</v>
      </c>
      <c r="I26" s="19">
        <v>45002</v>
      </c>
      <c r="J26" s="20">
        <f t="shared" si="0"/>
        <v>44986</v>
      </c>
      <c r="K26" s="21">
        <v>99</v>
      </c>
      <c r="L26" s="21">
        <v>160</v>
      </c>
      <c r="M26" s="19">
        <v>45032</v>
      </c>
      <c r="N26" s="21">
        <f t="shared" si="1"/>
        <v>259</v>
      </c>
      <c r="O26" s="19"/>
      <c r="P26" s="18" t="str">
        <f>IF(OR(O26="",O26&gt;Assumptions!$B$2),"Active","Churned")</f>
        <v>Active</v>
      </c>
      <c r="Q26" s="18" t="str">
        <f t="shared" si="2"/>
        <v>Yes</v>
      </c>
      <c r="R26" s="21">
        <f t="shared" si="3"/>
        <v>3108</v>
      </c>
      <c r="S26" s="21">
        <f t="shared" si="4"/>
        <v>0</v>
      </c>
      <c r="T26" s="20">
        <f t="shared" si="5"/>
        <v>44986</v>
      </c>
      <c r="U26" s="20">
        <f t="shared" si="6"/>
        <v>45017</v>
      </c>
      <c r="V26" s="20" t="str">
        <f t="shared" si="7"/>
        <v/>
      </c>
      <c r="W26" s="20">
        <f t="shared" si="8"/>
        <v>73020</v>
      </c>
      <c r="X26" s="20">
        <f t="shared" si="9"/>
        <v>73020</v>
      </c>
    </row>
    <row r="27" spans="1:24" x14ac:dyDescent="0.35">
      <c r="A27" s="18" t="s">
        <v>126</v>
      </c>
      <c r="B27" s="18" t="s">
        <v>127</v>
      </c>
      <c r="C27" s="18" t="s">
        <v>61</v>
      </c>
      <c r="D27" s="18" t="s">
        <v>62</v>
      </c>
      <c r="E27" s="18" t="s">
        <v>63</v>
      </c>
      <c r="F27" s="18" t="s">
        <v>70</v>
      </c>
      <c r="G27" s="18" t="s">
        <v>71</v>
      </c>
      <c r="H27" s="18" t="s">
        <v>58</v>
      </c>
      <c r="I27" s="19">
        <v>44997</v>
      </c>
      <c r="J27" s="20">
        <f t="shared" si="0"/>
        <v>44986</v>
      </c>
      <c r="K27" s="21">
        <v>199</v>
      </c>
      <c r="L27" s="21">
        <v>138</v>
      </c>
      <c r="M27" s="19">
        <v>44997</v>
      </c>
      <c r="N27" s="21">
        <f t="shared" si="1"/>
        <v>337</v>
      </c>
      <c r="O27" s="19">
        <v>45027</v>
      </c>
      <c r="P27" s="18" t="str">
        <f>IF(OR(O27="",O27&gt;Assumptions!$B$2),"Active","Churned")</f>
        <v>Active</v>
      </c>
      <c r="Q27" s="18" t="str">
        <f t="shared" si="2"/>
        <v>Yes</v>
      </c>
      <c r="R27" s="21">
        <f t="shared" si="3"/>
        <v>4044</v>
      </c>
      <c r="S27" s="21">
        <f t="shared" si="4"/>
        <v>0</v>
      </c>
      <c r="T27" s="20">
        <f t="shared" si="5"/>
        <v>44986</v>
      </c>
      <c r="U27" s="20">
        <f t="shared" si="6"/>
        <v>44986</v>
      </c>
      <c r="V27" s="20">
        <f t="shared" si="7"/>
        <v>45017</v>
      </c>
      <c r="W27" s="20">
        <f t="shared" si="8"/>
        <v>73020</v>
      </c>
      <c r="X27" s="20">
        <f t="shared" si="9"/>
        <v>45017</v>
      </c>
    </row>
    <row r="28" spans="1:24" x14ac:dyDescent="0.35">
      <c r="A28" s="18" t="s">
        <v>128</v>
      </c>
      <c r="B28" s="18" t="s">
        <v>129</v>
      </c>
      <c r="C28" s="18" t="s">
        <v>67</v>
      </c>
      <c r="D28" s="18" t="s">
        <v>68</v>
      </c>
      <c r="E28" s="18" t="s">
        <v>69</v>
      </c>
      <c r="F28" s="18" t="s">
        <v>91</v>
      </c>
      <c r="G28" s="18" t="s">
        <v>71</v>
      </c>
      <c r="H28" s="18" t="s">
        <v>58</v>
      </c>
      <c r="I28" s="19">
        <v>45139</v>
      </c>
      <c r="J28" s="20">
        <f t="shared" si="0"/>
        <v>45139</v>
      </c>
      <c r="K28" s="21">
        <v>99</v>
      </c>
      <c r="L28" s="21">
        <v>92</v>
      </c>
      <c r="M28" s="19">
        <v>45199</v>
      </c>
      <c r="N28" s="21">
        <f t="shared" si="1"/>
        <v>191</v>
      </c>
      <c r="O28" s="19"/>
      <c r="P28" s="18" t="str">
        <f>IF(OR(O28="",O28&gt;Assumptions!$B$2),"Active","Churned")</f>
        <v>Active</v>
      </c>
      <c r="Q28" s="18" t="str">
        <f t="shared" si="2"/>
        <v>Yes</v>
      </c>
      <c r="R28" s="21">
        <f t="shared" si="3"/>
        <v>2292</v>
      </c>
      <c r="S28" s="21">
        <f t="shared" si="4"/>
        <v>0</v>
      </c>
      <c r="T28" s="20">
        <f t="shared" si="5"/>
        <v>45139</v>
      </c>
      <c r="U28" s="20">
        <f t="shared" si="6"/>
        <v>45170</v>
      </c>
      <c r="V28" s="20" t="str">
        <f t="shared" si="7"/>
        <v/>
      </c>
      <c r="W28" s="20">
        <f t="shared" si="8"/>
        <v>73020</v>
      </c>
      <c r="X28" s="20">
        <f t="shared" si="9"/>
        <v>73020</v>
      </c>
    </row>
    <row r="29" spans="1:24" x14ac:dyDescent="0.35">
      <c r="A29" s="18" t="s">
        <v>130</v>
      </c>
      <c r="B29" s="18" t="s">
        <v>131</v>
      </c>
      <c r="C29" s="18" t="s">
        <v>74</v>
      </c>
      <c r="D29" s="18" t="s">
        <v>75</v>
      </c>
      <c r="E29" s="18" t="s">
        <v>76</v>
      </c>
      <c r="F29" s="18" t="s">
        <v>64</v>
      </c>
      <c r="G29" s="18" t="s">
        <v>64</v>
      </c>
      <c r="H29" s="18" t="s">
        <v>78</v>
      </c>
      <c r="I29" s="19">
        <v>44934</v>
      </c>
      <c r="J29" s="20">
        <f t="shared" si="0"/>
        <v>44927</v>
      </c>
      <c r="K29" s="21">
        <v>799</v>
      </c>
      <c r="L29" s="21">
        <v>20</v>
      </c>
      <c r="M29" s="19">
        <v>45009</v>
      </c>
      <c r="N29" s="21">
        <f t="shared" si="1"/>
        <v>819</v>
      </c>
      <c r="O29" s="19"/>
      <c r="P29" s="18" t="str">
        <f>IF(OR(O29="",O29&gt;Assumptions!$B$2),"Active","Churned")</f>
        <v>Active</v>
      </c>
      <c r="Q29" s="18" t="str">
        <f t="shared" si="2"/>
        <v>Yes</v>
      </c>
      <c r="R29" s="21">
        <f t="shared" si="3"/>
        <v>9828</v>
      </c>
      <c r="S29" s="21">
        <f t="shared" si="4"/>
        <v>9588</v>
      </c>
      <c r="T29" s="20">
        <f t="shared" si="5"/>
        <v>44927</v>
      </c>
      <c r="U29" s="20">
        <f t="shared" si="6"/>
        <v>44986</v>
      </c>
      <c r="V29" s="20" t="str">
        <f t="shared" si="7"/>
        <v/>
      </c>
      <c r="W29" s="20">
        <f t="shared" si="8"/>
        <v>45292</v>
      </c>
      <c r="X29" s="20">
        <f t="shared" si="9"/>
        <v>45292</v>
      </c>
    </row>
    <row r="30" spans="1:24" x14ac:dyDescent="0.35">
      <c r="A30" s="18" t="s">
        <v>132</v>
      </c>
      <c r="B30" s="18" t="s">
        <v>133</v>
      </c>
      <c r="C30" s="18" t="s">
        <v>81</v>
      </c>
      <c r="D30" s="18" t="s">
        <v>54</v>
      </c>
      <c r="E30" s="18" t="s">
        <v>55</v>
      </c>
      <c r="F30" s="18" t="s">
        <v>64</v>
      </c>
      <c r="G30" s="18" t="s">
        <v>64</v>
      </c>
      <c r="H30" s="18" t="s">
        <v>78</v>
      </c>
      <c r="I30" s="19">
        <v>44982</v>
      </c>
      <c r="J30" s="20">
        <f t="shared" si="0"/>
        <v>44958</v>
      </c>
      <c r="K30" s="21">
        <v>799</v>
      </c>
      <c r="L30" s="21">
        <v>196</v>
      </c>
      <c r="M30" s="19">
        <v>45012</v>
      </c>
      <c r="N30" s="21">
        <f t="shared" si="1"/>
        <v>995</v>
      </c>
      <c r="O30" s="19"/>
      <c r="P30" s="18" t="str">
        <f>IF(OR(O30="",O30&gt;Assumptions!$B$2),"Active","Churned")</f>
        <v>Active</v>
      </c>
      <c r="Q30" s="18" t="str">
        <f t="shared" si="2"/>
        <v>Yes</v>
      </c>
      <c r="R30" s="21">
        <f t="shared" si="3"/>
        <v>11940</v>
      </c>
      <c r="S30" s="21">
        <f t="shared" si="4"/>
        <v>9588</v>
      </c>
      <c r="T30" s="20">
        <f t="shared" si="5"/>
        <v>44958</v>
      </c>
      <c r="U30" s="20">
        <f t="shared" si="6"/>
        <v>44986</v>
      </c>
      <c r="V30" s="20" t="str">
        <f t="shared" si="7"/>
        <v/>
      </c>
      <c r="W30" s="20">
        <f t="shared" si="8"/>
        <v>45323</v>
      </c>
      <c r="X30" s="20">
        <f t="shared" si="9"/>
        <v>45323</v>
      </c>
    </row>
    <row r="31" spans="1:24" x14ac:dyDescent="0.35">
      <c r="A31" s="18" t="s">
        <v>134</v>
      </c>
      <c r="B31" s="18" t="s">
        <v>135</v>
      </c>
      <c r="C31" s="18" t="s">
        <v>84</v>
      </c>
      <c r="D31" s="18" t="s">
        <v>62</v>
      </c>
      <c r="E31" s="18" t="s">
        <v>63</v>
      </c>
      <c r="F31" s="18" t="s">
        <v>70</v>
      </c>
      <c r="G31" s="18" t="s">
        <v>71</v>
      </c>
      <c r="H31" s="18" t="s">
        <v>58</v>
      </c>
      <c r="I31" s="19">
        <v>45156</v>
      </c>
      <c r="J31" s="20">
        <f t="shared" si="0"/>
        <v>45139</v>
      </c>
      <c r="K31" s="21">
        <v>199</v>
      </c>
      <c r="L31" s="21">
        <v>67</v>
      </c>
      <c r="M31" s="19">
        <v>45201</v>
      </c>
      <c r="N31" s="21">
        <f t="shared" si="1"/>
        <v>266</v>
      </c>
      <c r="O31" s="19">
        <v>45294</v>
      </c>
      <c r="P31" s="18" t="str">
        <f>IF(OR(O31="",O31&gt;Assumptions!$B$2),"Active","Churned")</f>
        <v>Active</v>
      </c>
      <c r="Q31" s="18" t="str">
        <f t="shared" si="2"/>
        <v>Yes</v>
      </c>
      <c r="R31" s="21">
        <f t="shared" si="3"/>
        <v>3192</v>
      </c>
      <c r="S31" s="21">
        <f t="shared" si="4"/>
        <v>0</v>
      </c>
      <c r="T31" s="20">
        <f t="shared" si="5"/>
        <v>45139</v>
      </c>
      <c r="U31" s="20">
        <f t="shared" si="6"/>
        <v>45200</v>
      </c>
      <c r="V31" s="20">
        <f t="shared" si="7"/>
        <v>45292</v>
      </c>
      <c r="W31" s="20">
        <f t="shared" si="8"/>
        <v>73020</v>
      </c>
      <c r="X31" s="20">
        <f t="shared" si="9"/>
        <v>45292</v>
      </c>
    </row>
    <row r="32" spans="1:24" x14ac:dyDescent="0.35">
      <c r="A32" s="18" t="s">
        <v>136</v>
      </c>
      <c r="B32" s="18" t="s">
        <v>137</v>
      </c>
      <c r="C32" s="18" t="s">
        <v>87</v>
      </c>
      <c r="D32" s="18" t="s">
        <v>68</v>
      </c>
      <c r="E32" s="18" t="s">
        <v>69</v>
      </c>
      <c r="F32" s="18" t="s">
        <v>56</v>
      </c>
      <c r="G32" s="18" t="s">
        <v>57</v>
      </c>
      <c r="H32" s="18" t="s">
        <v>58</v>
      </c>
      <c r="I32" s="19">
        <v>45039</v>
      </c>
      <c r="J32" s="20">
        <f t="shared" si="0"/>
        <v>45017</v>
      </c>
      <c r="K32" s="21">
        <v>299</v>
      </c>
      <c r="L32" s="21">
        <v>102</v>
      </c>
      <c r="M32" s="19">
        <v>45099</v>
      </c>
      <c r="N32" s="21">
        <f t="shared" si="1"/>
        <v>401</v>
      </c>
      <c r="O32" s="19"/>
      <c r="P32" s="18" t="str">
        <f>IF(OR(O32="",O32&gt;Assumptions!$B$2),"Active","Churned")</f>
        <v>Active</v>
      </c>
      <c r="Q32" s="18" t="str">
        <f t="shared" si="2"/>
        <v>Yes</v>
      </c>
      <c r="R32" s="21">
        <f t="shared" si="3"/>
        <v>4812</v>
      </c>
      <c r="S32" s="21">
        <f t="shared" si="4"/>
        <v>0</v>
      </c>
      <c r="T32" s="20">
        <f t="shared" si="5"/>
        <v>45017</v>
      </c>
      <c r="U32" s="20">
        <f t="shared" si="6"/>
        <v>45078</v>
      </c>
      <c r="V32" s="20" t="str">
        <f t="shared" si="7"/>
        <v/>
      </c>
      <c r="W32" s="20">
        <f t="shared" si="8"/>
        <v>73020</v>
      </c>
      <c r="X32" s="20">
        <f t="shared" si="9"/>
        <v>73020</v>
      </c>
    </row>
    <row r="33" spans="1:24" x14ac:dyDescent="0.35">
      <c r="A33" s="18" t="s">
        <v>138</v>
      </c>
      <c r="B33" s="18" t="s">
        <v>139</v>
      </c>
      <c r="C33" s="18" t="s">
        <v>90</v>
      </c>
      <c r="D33" s="18" t="s">
        <v>75</v>
      </c>
      <c r="E33" s="18" t="s">
        <v>76</v>
      </c>
      <c r="F33" s="18" t="s">
        <v>77</v>
      </c>
      <c r="G33" s="18" t="s">
        <v>57</v>
      </c>
      <c r="H33" s="18" t="s">
        <v>78</v>
      </c>
      <c r="I33" s="19">
        <v>45155</v>
      </c>
      <c r="J33" s="20">
        <f t="shared" si="0"/>
        <v>45139</v>
      </c>
      <c r="K33" s="21">
        <v>499</v>
      </c>
      <c r="L33" s="21">
        <v>30</v>
      </c>
      <c r="M33" s="19">
        <v>45230</v>
      </c>
      <c r="N33" s="21">
        <f t="shared" si="1"/>
        <v>529</v>
      </c>
      <c r="O33" s="19"/>
      <c r="P33" s="18" t="str">
        <f>IF(OR(O33="",O33&gt;Assumptions!$B$2),"Active","Churned")</f>
        <v>Active</v>
      </c>
      <c r="Q33" s="18" t="str">
        <f t="shared" si="2"/>
        <v>Yes</v>
      </c>
      <c r="R33" s="21">
        <f t="shared" si="3"/>
        <v>6348</v>
      </c>
      <c r="S33" s="21">
        <f t="shared" si="4"/>
        <v>5988</v>
      </c>
      <c r="T33" s="20">
        <f t="shared" si="5"/>
        <v>45139</v>
      </c>
      <c r="U33" s="20">
        <f t="shared" si="6"/>
        <v>45200</v>
      </c>
      <c r="V33" s="20" t="str">
        <f t="shared" si="7"/>
        <v/>
      </c>
      <c r="W33" s="20">
        <f t="shared" si="8"/>
        <v>45505</v>
      </c>
      <c r="X33" s="20">
        <f t="shared" si="9"/>
        <v>45505</v>
      </c>
    </row>
    <row r="34" spans="1:24" x14ac:dyDescent="0.35">
      <c r="A34" s="18" t="s">
        <v>140</v>
      </c>
      <c r="B34" s="18" t="s">
        <v>141</v>
      </c>
      <c r="C34" s="18" t="s">
        <v>53</v>
      </c>
      <c r="D34" s="18" t="s">
        <v>54</v>
      </c>
      <c r="E34" s="18" t="s">
        <v>55</v>
      </c>
      <c r="F34" s="18" t="s">
        <v>91</v>
      </c>
      <c r="G34" s="18" t="s">
        <v>71</v>
      </c>
      <c r="H34" s="18" t="s">
        <v>58</v>
      </c>
      <c r="I34" s="19">
        <v>44968</v>
      </c>
      <c r="J34" s="20">
        <f t="shared" ref="J34:J51" si="10">DATE(YEAR(I34),MONTH(I34),1)</f>
        <v>44958</v>
      </c>
      <c r="K34" s="21">
        <v>99</v>
      </c>
      <c r="L34" s="21">
        <v>150</v>
      </c>
      <c r="M34" s="19">
        <v>44998</v>
      </c>
      <c r="N34" s="21">
        <f t="shared" ref="N34:N51" si="11">K34+L34</f>
        <v>249</v>
      </c>
      <c r="O34" s="19">
        <v>45056</v>
      </c>
      <c r="P34" s="18" t="str">
        <f>IF(OR(O34="",O34&gt;Assumptions!$B$2),"Active","Churned")</f>
        <v>Active</v>
      </c>
      <c r="Q34" s="18" t="str">
        <f t="shared" ref="Q34:Q51" si="12">IF(P34="Active","Yes","No")</f>
        <v>Yes</v>
      </c>
      <c r="R34" s="21">
        <f t="shared" ref="R34:R51" si="13">N34*12</f>
        <v>2988</v>
      </c>
      <c r="S34" s="21">
        <f t="shared" ref="S34:S51" si="14">IF(H34="Annual",K34*12,0)</f>
        <v>0</v>
      </c>
      <c r="T34" s="20">
        <f t="shared" ref="T34:T51" si="15">DATE(YEAR(I34),MONTH(I34),1)</f>
        <v>44958</v>
      </c>
      <c r="U34" s="20">
        <f t="shared" ref="U34:U51" si="16">IF(M34="","",DATE(YEAR(M34),MONTH(M34),1))</f>
        <v>44986</v>
      </c>
      <c r="V34" s="20">
        <f t="shared" ref="V34:V51" si="17">IF(O34="","",DATE(YEAR(O34),MONTH(O34),1))</f>
        <v>45047</v>
      </c>
      <c r="W34" s="20">
        <f t="shared" ref="W34:W51" si="18">IF(H34="Annual",EDATE(T34,12),DATE(2099,12,1))</f>
        <v>73020</v>
      </c>
      <c r="X34" s="20">
        <f t="shared" ref="X34:X51" si="19">IF(V34="",W34,MIN(V34,W34))</f>
        <v>45047</v>
      </c>
    </row>
    <row r="35" spans="1:24" x14ac:dyDescent="0.35">
      <c r="A35" s="18" t="s">
        <v>142</v>
      </c>
      <c r="B35" s="18" t="s">
        <v>143</v>
      </c>
      <c r="C35" s="18" t="s">
        <v>61</v>
      </c>
      <c r="D35" s="18" t="s">
        <v>62</v>
      </c>
      <c r="E35" s="18" t="s">
        <v>63</v>
      </c>
      <c r="F35" s="18" t="s">
        <v>91</v>
      </c>
      <c r="G35" s="18" t="s">
        <v>71</v>
      </c>
      <c r="H35" s="18" t="s">
        <v>58</v>
      </c>
      <c r="I35" s="19">
        <v>44929</v>
      </c>
      <c r="J35" s="20">
        <f t="shared" si="10"/>
        <v>44927</v>
      </c>
      <c r="K35" s="21">
        <v>99</v>
      </c>
      <c r="L35" s="21">
        <v>58</v>
      </c>
      <c r="M35" s="19">
        <v>44974</v>
      </c>
      <c r="N35" s="21">
        <f t="shared" si="11"/>
        <v>157</v>
      </c>
      <c r="O35" s="19"/>
      <c r="P35" s="18" t="str">
        <f>IF(OR(O35="",O35&gt;Assumptions!$B$2),"Active","Churned")</f>
        <v>Active</v>
      </c>
      <c r="Q35" s="18" t="str">
        <f t="shared" si="12"/>
        <v>Yes</v>
      </c>
      <c r="R35" s="21">
        <f t="shared" si="13"/>
        <v>1884</v>
      </c>
      <c r="S35" s="21">
        <f t="shared" si="14"/>
        <v>0</v>
      </c>
      <c r="T35" s="20">
        <f t="shared" si="15"/>
        <v>44927</v>
      </c>
      <c r="U35" s="20">
        <f t="shared" si="16"/>
        <v>44958</v>
      </c>
      <c r="V35" s="20" t="str">
        <f t="shared" si="17"/>
        <v/>
      </c>
      <c r="W35" s="20">
        <f t="shared" si="18"/>
        <v>73020</v>
      </c>
      <c r="X35" s="20">
        <f t="shared" si="19"/>
        <v>73020</v>
      </c>
    </row>
    <row r="36" spans="1:24" x14ac:dyDescent="0.35">
      <c r="A36" s="18" t="s">
        <v>144</v>
      </c>
      <c r="B36" s="18" t="s">
        <v>145</v>
      </c>
      <c r="C36" s="18" t="s">
        <v>67</v>
      </c>
      <c r="D36" s="18" t="s">
        <v>68</v>
      </c>
      <c r="E36" s="18" t="s">
        <v>69</v>
      </c>
      <c r="F36" s="18" t="s">
        <v>64</v>
      </c>
      <c r="G36" s="18" t="s">
        <v>64</v>
      </c>
      <c r="H36" s="18" t="s">
        <v>78</v>
      </c>
      <c r="I36" s="19">
        <v>45080</v>
      </c>
      <c r="J36" s="20">
        <f t="shared" si="10"/>
        <v>45078</v>
      </c>
      <c r="K36" s="21">
        <v>799</v>
      </c>
      <c r="L36" s="21">
        <v>60</v>
      </c>
      <c r="M36" s="19">
        <v>45140</v>
      </c>
      <c r="N36" s="21">
        <f t="shared" si="11"/>
        <v>859</v>
      </c>
      <c r="O36" s="19"/>
      <c r="P36" s="18" t="str">
        <f>IF(OR(O36="",O36&gt;Assumptions!$B$2),"Active","Churned")</f>
        <v>Active</v>
      </c>
      <c r="Q36" s="18" t="str">
        <f t="shared" si="12"/>
        <v>Yes</v>
      </c>
      <c r="R36" s="21">
        <f t="shared" si="13"/>
        <v>10308</v>
      </c>
      <c r="S36" s="21">
        <f t="shared" si="14"/>
        <v>9588</v>
      </c>
      <c r="T36" s="20">
        <f t="shared" si="15"/>
        <v>45078</v>
      </c>
      <c r="U36" s="20">
        <f t="shared" si="16"/>
        <v>45139</v>
      </c>
      <c r="V36" s="20" t="str">
        <f t="shared" si="17"/>
        <v/>
      </c>
      <c r="W36" s="20">
        <f t="shared" si="18"/>
        <v>45444</v>
      </c>
      <c r="X36" s="20">
        <f t="shared" si="19"/>
        <v>45444</v>
      </c>
    </row>
    <row r="37" spans="1:24" x14ac:dyDescent="0.35">
      <c r="A37" s="18" t="s">
        <v>146</v>
      </c>
      <c r="B37" s="18" t="s">
        <v>147</v>
      </c>
      <c r="C37" s="18" t="s">
        <v>74</v>
      </c>
      <c r="D37" s="18" t="s">
        <v>75</v>
      </c>
      <c r="E37" s="18" t="s">
        <v>76</v>
      </c>
      <c r="F37" s="18" t="s">
        <v>70</v>
      </c>
      <c r="G37" s="18" t="s">
        <v>71</v>
      </c>
      <c r="H37" s="18" t="s">
        <v>58</v>
      </c>
      <c r="I37" s="19">
        <v>45034</v>
      </c>
      <c r="J37" s="20">
        <f t="shared" si="10"/>
        <v>45017</v>
      </c>
      <c r="K37" s="21">
        <v>199</v>
      </c>
      <c r="L37" s="21">
        <v>185</v>
      </c>
      <c r="M37" s="19">
        <v>45109</v>
      </c>
      <c r="N37" s="21">
        <f t="shared" si="11"/>
        <v>384</v>
      </c>
      <c r="O37" s="19">
        <v>45211</v>
      </c>
      <c r="P37" s="18" t="str">
        <f>IF(OR(O37="",O37&gt;Assumptions!$B$2),"Active","Churned")</f>
        <v>Active</v>
      </c>
      <c r="Q37" s="18" t="str">
        <f t="shared" si="12"/>
        <v>Yes</v>
      </c>
      <c r="R37" s="21">
        <f t="shared" si="13"/>
        <v>4608</v>
      </c>
      <c r="S37" s="21">
        <f t="shared" si="14"/>
        <v>0</v>
      </c>
      <c r="T37" s="20">
        <f t="shared" si="15"/>
        <v>45017</v>
      </c>
      <c r="U37" s="20">
        <f t="shared" si="16"/>
        <v>45108</v>
      </c>
      <c r="V37" s="20">
        <f t="shared" si="17"/>
        <v>45200</v>
      </c>
      <c r="W37" s="20">
        <f t="shared" si="18"/>
        <v>73020</v>
      </c>
      <c r="X37" s="20">
        <f t="shared" si="19"/>
        <v>45200</v>
      </c>
    </row>
    <row r="38" spans="1:24" x14ac:dyDescent="0.35">
      <c r="A38" s="18" t="s">
        <v>148</v>
      </c>
      <c r="B38" s="18" t="s">
        <v>149</v>
      </c>
      <c r="C38" s="18" t="s">
        <v>81</v>
      </c>
      <c r="D38" s="18" t="s">
        <v>54</v>
      </c>
      <c r="E38" s="18" t="s">
        <v>55</v>
      </c>
      <c r="F38" s="18" t="s">
        <v>77</v>
      </c>
      <c r="G38" s="18" t="s">
        <v>57</v>
      </c>
      <c r="H38" s="18" t="s">
        <v>58</v>
      </c>
      <c r="I38" s="19">
        <v>45042</v>
      </c>
      <c r="J38" s="20">
        <f t="shared" si="10"/>
        <v>45017</v>
      </c>
      <c r="K38" s="21">
        <v>499</v>
      </c>
      <c r="L38" s="21">
        <v>104</v>
      </c>
      <c r="M38" s="19">
        <v>45072</v>
      </c>
      <c r="N38" s="21">
        <f t="shared" si="11"/>
        <v>603</v>
      </c>
      <c r="O38" s="19"/>
      <c r="P38" s="18" t="str">
        <f>IF(OR(O38="",O38&gt;Assumptions!$B$2),"Active","Churned")</f>
        <v>Active</v>
      </c>
      <c r="Q38" s="18" t="str">
        <f t="shared" si="12"/>
        <v>Yes</v>
      </c>
      <c r="R38" s="21">
        <f t="shared" si="13"/>
        <v>7236</v>
      </c>
      <c r="S38" s="21">
        <f t="shared" si="14"/>
        <v>0</v>
      </c>
      <c r="T38" s="20">
        <f t="shared" si="15"/>
        <v>45017</v>
      </c>
      <c r="U38" s="20">
        <f t="shared" si="16"/>
        <v>45047</v>
      </c>
      <c r="V38" s="20" t="str">
        <f t="shared" si="17"/>
        <v/>
      </c>
      <c r="W38" s="20">
        <f t="shared" si="18"/>
        <v>73020</v>
      </c>
      <c r="X38" s="20">
        <f t="shared" si="19"/>
        <v>73020</v>
      </c>
    </row>
    <row r="39" spans="1:24" x14ac:dyDescent="0.35">
      <c r="A39" s="18" t="s">
        <v>150</v>
      </c>
      <c r="B39" s="18" t="s">
        <v>151</v>
      </c>
      <c r="C39" s="18" t="s">
        <v>84</v>
      </c>
      <c r="D39" s="18" t="s">
        <v>62</v>
      </c>
      <c r="E39" s="18" t="s">
        <v>63</v>
      </c>
      <c r="F39" s="18" t="s">
        <v>77</v>
      </c>
      <c r="G39" s="18" t="s">
        <v>57</v>
      </c>
      <c r="H39" s="18" t="s">
        <v>78</v>
      </c>
      <c r="I39" s="19">
        <v>44979</v>
      </c>
      <c r="J39" s="20">
        <f t="shared" si="10"/>
        <v>44958</v>
      </c>
      <c r="K39" s="21">
        <v>499</v>
      </c>
      <c r="L39" s="21">
        <v>90</v>
      </c>
      <c r="M39" s="19">
        <v>45024</v>
      </c>
      <c r="N39" s="21">
        <f t="shared" si="11"/>
        <v>589</v>
      </c>
      <c r="O39" s="19"/>
      <c r="P39" s="18" t="str">
        <f>IF(OR(O39="",O39&gt;Assumptions!$B$2),"Active","Churned")</f>
        <v>Active</v>
      </c>
      <c r="Q39" s="18" t="str">
        <f t="shared" si="12"/>
        <v>Yes</v>
      </c>
      <c r="R39" s="21">
        <f t="shared" si="13"/>
        <v>7068</v>
      </c>
      <c r="S39" s="21">
        <f t="shared" si="14"/>
        <v>5988</v>
      </c>
      <c r="T39" s="20">
        <f t="shared" si="15"/>
        <v>44958</v>
      </c>
      <c r="U39" s="20">
        <f t="shared" si="16"/>
        <v>45017</v>
      </c>
      <c r="V39" s="20" t="str">
        <f t="shared" si="17"/>
        <v/>
      </c>
      <c r="W39" s="20">
        <f t="shared" si="18"/>
        <v>45323</v>
      </c>
      <c r="X39" s="20">
        <f t="shared" si="19"/>
        <v>45323</v>
      </c>
    </row>
    <row r="40" spans="1:24" x14ac:dyDescent="0.35">
      <c r="A40" s="18" t="s">
        <v>152</v>
      </c>
      <c r="B40" s="18" t="s">
        <v>153</v>
      </c>
      <c r="C40" s="18" t="s">
        <v>87</v>
      </c>
      <c r="D40" s="18" t="s">
        <v>68</v>
      </c>
      <c r="E40" s="18" t="s">
        <v>69</v>
      </c>
      <c r="F40" s="18" t="s">
        <v>91</v>
      </c>
      <c r="G40" s="18" t="s">
        <v>71</v>
      </c>
      <c r="H40" s="18" t="s">
        <v>58</v>
      </c>
      <c r="I40" s="19">
        <v>45166</v>
      </c>
      <c r="J40" s="20">
        <f t="shared" si="10"/>
        <v>45139</v>
      </c>
      <c r="K40" s="21">
        <v>99</v>
      </c>
      <c r="L40" s="21">
        <v>172</v>
      </c>
      <c r="M40" s="19">
        <v>45226</v>
      </c>
      <c r="N40" s="21">
        <f t="shared" si="11"/>
        <v>271</v>
      </c>
      <c r="O40" s="19"/>
      <c r="P40" s="18" t="str">
        <f>IF(OR(O40="",O40&gt;Assumptions!$B$2),"Active","Churned")</f>
        <v>Active</v>
      </c>
      <c r="Q40" s="18" t="str">
        <f t="shared" si="12"/>
        <v>Yes</v>
      </c>
      <c r="R40" s="21">
        <f t="shared" si="13"/>
        <v>3252</v>
      </c>
      <c r="S40" s="21">
        <f t="shared" si="14"/>
        <v>0</v>
      </c>
      <c r="T40" s="20">
        <f t="shared" si="15"/>
        <v>45139</v>
      </c>
      <c r="U40" s="20">
        <f t="shared" si="16"/>
        <v>45200</v>
      </c>
      <c r="V40" s="20" t="str">
        <f t="shared" si="17"/>
        <v/>
      </c>
      <c r="W40" s="20">
        <f t="shared" si="18"/>
        <v>73020</v>
      </c>
      <c r="X40" s="20">
        <f t="shared" si="19"/>
        <v>73020</v>
      </c>
    </row>
    <row r="41" spans="1:24" x14ac:dyDescent="0.35">
      <c r="A41" s="18" t="s">
        <v>154</v>
      </c>
      <c r="B41" s="18" t="s">
        <v>155</v>
      </c>
      <c r="C41" s="18" t="s">
        <v>90</v>
      </c>
      <c r="D41" s="18" t="s">
        <v>75</v>
      </c>
      <c r="E41" s="18" t="s">
        <v>76</v>
      </c>
      <c r="F41" s="18" t="s">
        <v>56</v>
      </c>
      <c r="G41" s="18" t="s">
        <v>57</v>
      </c>
      <c r="H41" s="18" t="s">
        <v>58</v>
      </c>
      <c r="I41" s="19">
        <v>44939</v>
      </c>
      <c r="J41" s="20">
        <f t="shared" si="10"/>
        <v>44927</v>
      </c>
      <c r="K41" s="21">
        <v>299</v>
      </c>
      <c r="L41" s="21">
        <v>27</v>
      </c>
      <c r="M41" s="19">
        <v>45014</v>
      </c>
      <c r="N41" s="21">
        <f t="shared" si="11"/>
        <v>326</v>
      </c>
      <c r="O41" s="19"/>
      <c r="P41" s="18" t="str">
        <f>IF(OR(O41="",O41&gt;Assumptions!$B$2),"Active","Churned")</f>
        <v>Active</v>
      </c>
      <c r="Q41" s="18" t="str">
        <f t="shared" si="12"/>
        <v>Yes</v>
      </c>
      <c r="R41" s="21">
        <f t="shared" si="13"/>
        <v>3912</v>
      </c>
      <c r="S41" s="21">
        <f t="shared" si="14"/>
        <v>0</v>
      </c>
      <c r="T41" s="20">
        <f t="shared" si="15"/>
        <v>44927</v>
      </c>
      <c r="U41" s="20">
        <f t="shared" si="16"/>
        <v>44986</v>
      </c>
      <c r="V41" s="20" t="str">
        <f t="shared" si="17"/>
        <v/>
      </c>
      <c r="W41" s="20">
        <f t="shared" si="18"/>
        <v>73020</v>
      </c>
      <c r="X41" s="20">
        <f t="shared" si="19"/>
        <v>73020</v>
      </c>
    </row>
    <row r="42" spans="1:24" x14ac:dyDescent="0.35">
      <c r="A42" s="18" t="s">
        <v>156</v>
      </c>
      <c r="B42" s="18" t="s">
        <v>157</v>
      </c>
      <c r="C42" s="18" t="s">
        <v>53</v>
      </c>
      <c r="D42" s="18" t="s">
        <v>54</v>
      </c>
      <c r="E42" s="18" t="s">
        <v>55</v>
      </c>
      <c r="F42" s="18" t="s">
        <v>77</v>
      </c>
      <c r="G42" s="18" t="s">
        <v>57</v>
      </c>
      <c r="H42" s="18" t="s">
        <v>58</v>
      </c>
      <c r="I42" s="19">
        <v>45034</v>
      </c>
      <c r="J42" s="20">
        <f t="shared" si="10"/>
        <v>45017</v>
      </c>
      <c r="K42" s="21">
        <v>499</v>
      </c>
      <c r="L42" s="21">
        <v>35</v>
      </c>
      <c r="M42" s="19">
        <v>45064</v>
      </c>
      <c r="N42" s="21">
        <f t="shared" si="11"/>
        <v>534</v>
      </c>
      <c r="O42" s="19"/>
      <c r="P42" s="18" t="str">
        <f>IF(OR(O42="",O42&gt;Assumptions!$B$2),"Active","Churned")</f>
        <v>Active</v>
      </c>
      <c r="Q42" s="18" t="str">
        <f t="shared" si="12"/>
        <v>Yes</v>
      </c>
      <c r="R42" s="21">
        <f t="shared" si="13"/>
        <v>6408</v>
      </c>
      <c r="S42" s="21">
        <f t="shared" si="14"/>
        <v>0</v>
      </c>
      <c r="T42" s="20">
        <f t="shared" si="15"/>
        <v>45017</v>
      </c>
      <c r="U42" s="20">
        <f t="shared" si="16"/>
        <v>45047</v>
      </c>
      <c r="V42" s="20" t="str">
        <f t="shared" si="17"/>
        <v/>
      </c>
      <c r="W42" s="20">
        <f t="shared" si="18"/>
        <v>73020</v>
      </c>
      <c r="X42" s="20">
        <f t="shared" si="19"/>
        <v>73020</v>
      </c>
    </row>
    <row r="43" spans="1:24" x14ac:dyDescent="0.35">
      <c r="A43" s="18" t="s">
        <v>158</v>
      </c>
      <c r="B43" s="18" t="s">
        <v>159</v>
      </c>
      <c r="C43" s="18" t="s">
        <v>61</v>
      </c>
      <c r="D43" s="18" t="s">
        <v>62</v>
      </c>
      <c r="E43" s="18" t="s">
        <v>63</v>
      </c>
      <c r="F43" s="18" t="s">
        <v>70</v>
      </c>
      <c r="G43" s="18" t="s">
        <v>71</v>
      </c>
      <c r="H43" s="18" t="s">
        <v>58</v>
      </c>
      <c r="I43" s="19">
        <v>45061</v>
      </c>
      <c r="J43" s="20">
        <f t="shared" si="10"/>
        <v>45047</v>
      </c>
      <c r="K43" s="21">
        <v>199</v>
      </c>
      <c r="L43" s="21">
        <v>19</v>
      </c>
      <c r="M43" s="19">
        <v>45106</v>
      </c>
      <c r="N43" s="21">
        <f t="shared" si="11"/>
        <v>218</v>
      </c>
      <c r="O43" s="19"/>
      <c r="P43" s="18" t="str">
        <f>IF(OR(O43="",O43&gt;Assumptions!$B$2),"Active","Churned")</f>
        <v>Active</v>
      </c>
      <c r="Q43" s="18" t="str">
        <f t="shared" si="12"/>
        <v>Yes</v>
      </c>
      <c r="R43" s="21">
        <f t="shared" si="13"/>
        <v>2616</v>
      </c>
      <c r="S43" s="21">
        <f t="shared" si="14"/>
        <v>0</v>
      </c>
      <c r="T43" s="20">
        <f t="shared" si="15"/>
        <v>45047</v>
      </c>
      <c r="U43" s="20">
        <f t="shared" si="16"/>
        <v>45078</v>
      </c>
      <c r="V43" s="20" t="str">
        <f t="shared" si="17"/>
        <v/>
      </c>
      <c r="W43" s="20">
        <f t="shared" si="18"/>
        <v>73020</v>
      </c>
      <c r="X43" s="20">
        <f t="shared" si="19"/>
        <v>73020</v>
      </c>
    </row>
    <row r="44" spans="1:24" x14ac:dyDescent="0.35">
      <c r="A44" s="18" t="s">
        <v>160</v>
      </c>
      <c r="B44" s="18" t="s">
        <v>161</v>
      </c>
      <c r="C44" s="18" t="s">
        <v>67</v>
      </c>
      <c r="D44" s="18" t="s">
        <v>68</v>
      </c>
      <c r="E44" s="18" t="s">
        <v>69</v>
      </c>
      <c r="F44" s="18" t="s">
        <v>64</v>
      </c>
      <c r="G44" s="18" t="s">
        <v>64</v>
      </c>
      <c r="H44" s="18" t="s">
        <v>78</v>
      </c>
      <c r="I44" s="19">
        <v>44947</v>
      </c>
      <c r="J44" s="20">
        <f t="shared" si="10"/>
        <v>44927</v>
      </c>
      <c r="K44" s="21">
        <v>799</v>
      </c>
      <c r="L44" s="21">
        <v>3</v>
      </c>
      <c r="M44" s="19">
        <v>45007</v>
      </c>
      <c r="N44" s="21">
        <f t="shared" si="11"/>
        <v>802</v>
      </c>
      <c r="O44" s="19"/>
      <c r="P44" s="18" t="str">
        <f>IF(OR(O44="",O44&gt;Assumptions!$B$2),"Active","Churned")</f>
        <v>Active</v>
      </c>
      <c r="Q44" s="18" t="str">
        <f t="shared" si="12"/>
        <v>Yes</v>
      </c>
      <c r="R44" s="21">
        <f t="shared" si="13"/>
        <v>9624</v>
      </c>
      <c r="S44" s="21">
        <f t="shared" si="14"/>
        <v>9588</v>
      </c>
      <c r="T44" s="20">
        <f t="shared" si="15"/>
        <v>44927</v>
      </c>
      <c r="U44" s="20">
        <f t="shared" si="16"/>
        <v>44986</v>
      </c>
      <c r="V44" s="20" t="str">
        <f t="shared" si="17"/>
        <v/>
      </c>
      <c r="W44" s="20">
        <f t="shared" si="18"/>
        <v>45292</v>
      </c>
      <c r="X44" s="20">
        <f t="shared" si="19"/>
        <v>45292</v>
      </c>
    </row>
    <row r="45" spans="1:24" x14ac:dyDescent="0.35">
      <c r="A45" s="18" t="s">
        <v>162</v>
      </c>
      <c r="B45" s="18" t="s">
        <v>163</v>
      </c>
      <c r="C45" s="18" t="s">
        <v>74</v>
      </c>
      <c r="D45" s="18" t="s">
        <v>75</v>
      </c>
      <c r="E45" s="18" t="s">
        <v>76</v>
      </c>
      <c r="F45" s="18" t="s">
        <v>77</v>
      </c>
      <c r="G45" s="18" t="s">
        <v>57</v>
      </c>
      <c r="H45" s="18" t="s">
        <v>78</v>
      </c>
      <c r="I45" s="19">
        <v>44999</v>
      </c>
      <c r="J45" s="20">
        <f t="shared" si="10"/>
        <v>44986</v>
      </c>
      <c r="K45" s="21">
        <v>499</v>
      </c>
      <c r="L45" s="21">
        <v>123</v>
      </c>
      <c r="M45" s="19">
        <v>45074</v>
      </c>
      <c r="N45" s="21">
        <f t="shared" si="11"/>
        <v>622</v>
      </c>
      <c r="O45" s="19"/>
      <c r="P45" s="18" t="str">
        <f>IF(OR(O45="",O45&gt;Assumptions!$B$2),"Active","Churned")</f>
        <v>Active</v>
      </c>
      <c r="Q45" s="18" t="str">
        <f t="shared" si="12"/>
        <v>Yes</v>
      </c>
      <c r="R45" s="21">
        <f t="shared" si="13"/>
        <v>7464</v>
      </c>
      <c r="S45" s="21">
        <f t="shared" si="14"/>
        <v>5988</v>
      </c>
      <c r="T45" s="20">
        <f t="shared" si="15"/>
        <v>44986</v>
      </c>
      <c r="U45" s="20">
        <f t="shared" si="16"/>
        <v>45047</v>
      </c>
      <c r="V45" s="20" t="str">
        <f t="shared" si="17"/>
        <v/>
      </c>
      <c r="W45" s="20">
        <f t="shared" si="18"/>
        <v>45352</v>
      </c>
      <c r="X45" s="20">
        <f t="shared" si="19"/>
        <v>45352</v>
      </c>
    </row>
    <row r="46" spans="1:24" x14ac:dyDescent="0.35">
      <c r="A46" s="18" t="s">
        <v>164</v>
      </c>
      <c r="B46" s="18" t="s">
        <v>165</v>
      </c>
      <c r="C46" s="18" t="s">
        <v>81</v>
      </c>
      <c r="D46" s="18" t="s">
        <v>54</v>
      </c>
      <c r="E46" s="18" t="s">
        <v>55</v>
      </c>
      <c r="F46" s="18" t="s">
        <v>77</v>
      </c>
      <c r="G46" s="18" t="s">
        <v>57</v>
      </c>
      <c r="H46" s="18" t="s">
        <v>58</v>
      </c>
      <c r="I46" s="19">
        <v>44932</v>
      </c>
      <c r="J46" s="20">
        <f t="shared" si="10"/>
        <v>44927</v>
      </c>
      <c r="K46" s="21">
        <v>499</v>
      </c>
      <c r="L46" s="21">
        <v>0</v>
      </c>
      <c r="M46" s="19"/>
      <c r="N46" s="21">
        <f t="shared" si="11"/>
        <v>499</v>
      </c>
      <c r="O46" s="19"/>
      <c r="P46" s="18" t="str">
        <f>IF(OR(O46="",O46&gt;Assumptions!$B$2),"Active","Churned")</f>
        <v>Active</v>
      </c>
      <c r="Q46" s="18" t="str">
        <f t="shared" si="12"/>
        <v>Yes</v>
      </c>
      <c r="R46" s="21">
        <f t="shared" si="13"/>
        <v>5988</v>
      </c>
      <c r="S46" s="21">
        <f t="shared" si="14"/>
        <v>0</v>
      </c>
      <c r="T46" s="20">
        <f t="shared" si="15"/>
        <v>44927</v>
      </c>
      <c r="U46" s="20" t="str">
        <f t="shared" si="16"/>
        <v/>
      </c>
      <c r="V46" s="20" t="str">
        <f t="shared" si="17"/>
        <v/>
      </c>
      <c r="W46" s="20">
        <f t="shared" si="18"/>
        <v>73020</v>
      </c>
      <c r="X46" s="20">
        <f t="shared" si="19"/>
        <v>73020</v>
      </c>
    </row>
    <row r="47" spans="1:24" x14ac:dyDescent="0.35">
      <c r="A47" s="18" t="s">
        <v>166</v>
      </c>
      <c r="B47" s="18" t="s">
        <v>167</v>
      </c>
      <c r="C47" s="18" t="s">
        <v>84</v>
      </c>
      <c r="D47" s="18" t="s">
        <v>62</v>
      </c>
      <c r="E47" s="18" t="s">
        <v>63</v>
      </c>
      <c r="F47" s="18" t="s">
        <v>77</v>
      </c>
      <c r="G47" s="18" t="s">
        <v>57</v>
      </c>
      <c r="H47" s="18" t="s">
        <v>78</v>
      </c>
      <c r="I47" s="19">
        <v>45148</v>
      </c>
      <c r="J47" s="20">
        <f t="shared" si="10"/>
        <v>45139</v>
      </c>
      <c r="K47" s="21">
        <v>499</v>
      </c>
      <c r="L47" s="21">
        <v>178</v>
      </c>
      <c r="M47" s="19">
        <v>45193</v>
      </c>
      <c r="N47" s="21">
        <f t="shared" si="11"/>
        <v>677</v>
      </c>
      <c r="O47" s="19"/>
      <c r="P47" s="18" t="str">
        <f>IF(OR(O47="",O47&gt;Assumptions!$B$2),"Active","Churned")</f>
        <v>Active</v>
      </c>
      <c r="Q47" s="18" t="str">
        <f t="shared" si="12"/>
        <v>Yes</v>
      </c>
      <c r="R47" s="21">
        <f t="shared" si="13"/>
        <v>8124</v>
      </c>
      <c r="S47" s="21">
        <f t="shared" si="14"/>
        <v>5988</v>
      </c>
      <c r="T47" s="20">
        <f t="shared" si="15"/>
        <v>45139</v>
      </c>
      <c r="U47" s="20">
        <f t="shared" si="16"/>
        <v>45170</v>
      </c>
      <c r="V47" s="20" t="str">
        <f t="shared" si="17"/>
        <v/>
      </c>
      <c r="W47" s="20">
        <f t="shared" si="18"/>
        <v>45505</v>
      </c>
      <c r="X47" s="20">
        <f t="shared" si="19"/>
        <v>45505</v>
      </c>
    </row>
    <row r="48" spans="1:24" x14ac:dyDescent="0.35">
      <c r="A48" s="18" t="s">
        <v>168</v>
      </c>
      <c r="B48" s="18" t="s">
        <v>169</v>
      </c>
      <c r="C48" s="18" t="s">
        <v>87</v>
      </c>
      <c r="D48" s="18" t="s">
        <v>68</v>
      </c>
      <c r="E48" s="18" t="s">
        <v>69</v>
      </c>
      <c r="F48" s="18" t="s">
        <v>56</v>
      </c>
      <c r="G48" s="18" t="s">
        <v>57</v>
      </c>
      <c r="H48" s="18" t="s">
        <v>58</v>
      </c>
      <c r="I48" s="19">
        <v>44992</v>
      </c>
      <c r="J48" s="20">
        <f t="shared" si="10"/>
        <v>44986</v>
      </c>
      <c r="K48" s="21">
        <v>299</v>
      </c>
      <c r="L48" s="21">
        <v>55</v>
      </c>
      <c r="M48" s="19">
        <v>45052</v>
      </c>
      <c r="N48" s="21">
        <f t="shared" si="11"/>
        <v>354</v>
      </c>
      <c r="O48" s="19"/>
      <c r="P48" s="18" t="str">
        <f>IF(OR(O48="",O48&gt;Assumptions!$B$2),"Active","Churned")</f>
        <v>Active</v>
      </c>
      <c r="Q48" s="18" t="str">
        <f t="shared" si="12"/>
        <v>Yes</v>
      </c>
      <c r="R48" s="21">
        <f t="shared" si="13"/>
        <v>4248</v>
      </c>
      <c r="S48" s="21">
        <f t="shared" si="14"/>
        <v>0</v>
      </c>
      <c r="T48" s="20">
        <f t="shared" si="15"/>
        <v>44986</v>
      </c>
      <c r="U48" s="20">
        <f t="shared" si="16"/>
        <v>45047</v>
      </c>
      <c r="V48" s="20" t="str">
        <f t="shared" si="17"/>
        <v/>
      </c>
      <c r="W48" s="20">
        <f t="shared" si="18"/>
        <v>73020</v>
      </c>
      <c r="X48" s="20">
        <f t="shared" si="19"/>
        <v>73020</v>
      </c>
    </row>
    <row r="49" spans="1:24" x14ac:dyDescent="0.35">
      <c r="A49" s="18" t="s">
        <v>170</v>
      </c>
      <c r="B49" s="18" t="s">
        <v>171</v>
      </c>
      <c r="C49" s="18" t="s">
        <v>90</v>
      </c>
      <c r="D49" s="18" t="s">
        <v>75</v>
      </c>
      <c r="E49" s="18" t="s">
        <v>76</v>
      </c>
      <c r="F49" s="18" t="s">
        <v>91</v>
      </c>
      <c r="G49" s="18" t="s">
        <v>71</v>
      </c>
      <c r="H49" s="18" t="s">
        <v>58</v>
      </c>
      <c r="I49" s="19">
        <v>45079</v>
      </c>
      <c r="J49" s="20">
        <f t="shared" si="10"/>
        <v>45078</v>
      </c>
      <c r="K49" s="21">
        <v>99</v>
      </c>
      <c r="L49" s="21">
        <v>149</v>
      </c>
      <c r="M49" s="19">
        <v>45154</v>
      </c>
      <c r="N49" s="21">
        <f t="shared" si="11"/>
        <v>248</v>
      </c>
      <c r="O49" s="19"/>
      <c r="P49" s="18" t="str">
        <f>IF(OR(O49="",O49&gt;Assumptions!$B$2),"Active","Churned")</f>
        <v>Active</v>
      </c>
      <c r="Q49" s="18" t="str">
        <f t="shared" si="12"/>
        <v>Yes</v>
      </c>
      <c r="R49" s="21">
        <f t="shared" si="13"/>
        <v>2976</v>
      </c>
      <c r="S49" s="21">
        <f t="shared" si="14"/>
        <v>0</v>
      </c>
      <c r="T49" s="20">
        <f t="shared" si="15"/>
        <v>45078</v>
      </c>
      <c r="U49" s="20">
        <f t="shared" si="16"/>
        <v>45139</v>
      </c>
      <c r="V49" s="20" t="str">
        <f t="shared" si="17"/>
        <v/>
      </c>
      <c r="W49" s="20">
        <f t="shared" si="18"/>
        <v>73020</v>
      </c>
      <c r="X49" s="20">
        <f t="shared" si="19"/>
        <v>73020</v>
      </c>
    </row>
    <row r="50" spans="1:24" x14ac:dyDescent="0.35">
      <c r="A50" s="18" t="s">
        <v>172</v>
      </c>
      <c r="B50" s="18" t="s">
        <v>173</v>
      </c>
      <c r="C50" s="18" t="s">
        <v>53</v>
      </c>
      <c r="D50" s="18" t="s">
        <v>54</v>
      </c>
      <c r="E50" s="18" t="s">
        <v>55</v>
      </c>
      <c r="F50" s="18" t="s">
        <v>91</v>
      </c>
      <c r="G50" s="18" t="s">
        <v>71</v>
      </c>
      <c r="H50" s="18" t="s">
        <v>58</v>
      </c>
      <c r="I50" s="19">
        <v>44943</v>
      </c>
      <c r="J50" s="20">
        <f t="shared" si="10"/>
        <v>44927</v>
      </c>
      <c r="K50" s="21">
        <v>99</v>
      </c>
      <c r="L50" s="21">
        <v>47</v>
      </c>
      <c r="M50" s="19">
        <v>44973</v>
      </c>
      <c r="N50" s="21">
        <f t="shared" si="11"/>
        <v>146</v>
      </c>
      <c r="O50" s="19"/>
      <c r="P50" s="18" t="str">
        <f>IF(OR(O50="",O50&gt;Assumptions!$B$2),"Active","Churned")</f>
        <v>Active</v>
      </c>
      <c r="Q50" s="18" t="str">
        <f t="shared" si="12"/>
        <v>Yes</v>
      </c>
      <c r="R50" s="21">
        <f t="shared" si="13"/>
        <v>1752</v>
      </c>
      <c r="S50" s="21">
        <f t="shared" si="14"/>
        <v>0</v>
      </c>
      <c r="T50" s="20">
        <f t="shared" si="15"/>
        <v>44927</v>
      </c>
      <c r="U50" s="20">
        <f t="shared" si="16"/>
        <v>44958</v>
      </c>
      <c r="V50" s="20" t="str">
        <f t="shared" si="17"/>
        <v/>
      </c>
      <c r="W50" s="20">
        <f t="shared" si="18"/>
        <v>73020</v>
      </c>
      <c r="X50" s="20">
        <f t="shared" si="19"/>
        <v>73020</v>
      </c>
    </row>
    <row r="51" spans="1:24" x14ac:dyDescent="0.35">
      <c r="A51" s="18" t="s">
        <v>174</v>
      </c>
      <c r="B51" s="18" t="s">
        <v>175</v>
      </c>
      <c r="C51" s="18" t="s">
        <v>61</v>
      </c>
      <c r="D51" s="18" t="s">
        <v>62</v>
      </c>
      <c r="E51" s="18" t="s">
        <v>63</v>
      </c>
      <c r="F51" s="18" t="s">
        <v>91</v>
      </c>
      <c r="G51" s="18" t="s">
        <v>71</v>
      </c>
      <c r="H51" s="18" t="s">
        <v>58</v>
      </c>
      <c r="I51" s="19">
        <v>45029</v>
      </c>
      <c r="J51" s="20">
        <f t="shared" si="10"/>
        <v>45017</v>
      </c>
      <c r="K51" s="21">
        <v>99</v>
      </c>
      <c r="L51" s="21">
        <v>145</v>
      </c>
      <c r="M51" s="19">
        <v>45074</v>
      </c>
      <c r="N51" s="21">
        <f t="shared" si="11"/>
        <v>244</v>
      </c>
      <c r="O51" s="19"/>
      <c r="P51" s="18" t="str">
        <f>IF(OR(O51="",O51&gt;Assumptions!$B$2),"Active","Churned")</f>
        <v>Active</v>
      </c>
      <c r="Q51" s="18" t="str">
        <f t="shared" si="12"/>
        <v>Yes</v>
      </c>
      <c r="R51" s="21">
        <f t="shared" si="13"/>
        <v>2928</v>
      </c>
      <c r="S51" s="21">
        <f t="shared" si="14"/>
        <v>0</v>
      </c>
      <c r="T51" s="20">
        <f t="shared" si="15"/>
        <v>45017</v>
      </c>
      <c r="U51" s="20">
        <f t="shared" si="16"/>
        <v>45047</v>
      </c>
      <c r="V51" s="20" t="str">
        <f t="shared" si="17"/>
        <v/>
      </c>
      <c r="W51" s="20">
        <f t="shared" si="18"/>
        <v>73020</v>
      </c>
      <c r="X51" s="20">
        <f t="shared" si="19"/>
        <v>73020</v>
      </c>
    </row>
  </sheetData>
  <autoFilter ref="A1:X51" xr:uid="{00000000-0009-0000-0000-000001000000}"/>
  <conditionalFormatting sqref="H2:H51">
    <cfRule type="expression" dxfId="2" priority="2">
      <formula>$H2="Annual"</formula>
    </cfRule>
  </conditionalFormatting>
  <conditionalFormatting sqref="P2:P51">
    <cfRule type="expression" dxfId="1" priority="1">
      <formula>$P2="Churned"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9"/>
  <sheetViews>
    <sheetView showGridLines="0" topLeftCell="B1" workbookViewId="0">
      <selection sqref="A1:M1"/>
    </sheetView>
  </sheetViews>
  <sheetFormatPr defaultRowHeight="14.5" x14ac:dyDescent="0.35"/>
  <cols>
    <col min="1" max="1" width="24" customWidth="1"/>
    <col min="2" max="13" width="12" customWidth="1"/>
  </cols>
  <sheetData>
    <row r="1" spans="1:13" ht="18.5" x14ac:dyDescent="0.45">
      <c r="A1" s="36" t="s">
        <v>176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x14ac:dyDescent="0.35">
      <c r="A2" s="17"/>
      <c r="B2" s="25">
        <v>44927</v>
      </c>
      <c r="C2" s="25">
        <v>44958</v>
      </c>
      <c r="D2" s="25">
        <v>44986</v>
      </c>
      <c r="E2" s="25">
        <v>45017</v>
      </c>
      <c r="F2" s="25">
        <v>45047</v>
      </c>
      <c r="G2" s="25">
        <v>45078</v>
      </c>
      <c r="H2" s="25">
        <v>45108</v>
      </c>
      <c r="I2" s="25">
        <v>45139</v>
      </c>
      <c r="J2" s="25">
        <v>45170</v>
      </c>
      <c r="K2" s="25">
        <v>45200</v>
      </c>
      <c r="L2" s="25">
        <v>45231</v>
      </c>
      <c r="M2" s="25">
        <v>45261</v>
      </c>
    </row>
    <row r="3" spans="1:13" hidden="1" x14ac:dyDescent="0.35">
      <c r="B3" s="1">
        <v>44958</v>
      </c>
      <c r="C3" s="1">
        <v>44986</v>
      </c>
      <c r="D3" s="1">
        <v>45017</v>
      </c>
      <c r="E3" s="1">
        <v>45047</v>
      </c>
      <c r="F3" s="1">
        <v>45078</v>
      </c>
      <c r="G3" s="1">
        <v>45108</v>
      </c>
      <c r="H3" s="1">
        <v>45139</v>
      </c>
      <c r="I3" s="1">
        <v>45170</v>
      </c>
      <c r="J3" s="1">
        <v>45200</v>
      </c>
      <c r="K3" s="1">
        <v>45231</v>
      </c>
      <c r="L3" s="1">
        <v>45261</v>
      </c>
      <c r="M3" s="1">
        <v>45292</v>
      </c>
    </row>
    <row r="5" spans="1:13" x14ac:dyDescent="0.35">
      <c r="A5" s="23" t="s">
        <v>177</v>
      </c>
      <c r="B5" s="2">
        <v>0</v>
      </c>
      <c r="C5" s="2">
        <f t="shared" ref="C5:M5" si="0">B8</f>
        <v>10</v>
      </c>
      <c r="D5" s="2">
        <f t="shared" si="0"/>
        <v>15</v>
      </c>
      <c r="E5" s="2">
        <f t="shared" si="0"/>
        <v>22</v>
      </c>
      <c r="F5" s="2">
        <f t="shared" si="0"/>
        <v>29</v>
      </c>
      <c r="G5" s="2">
        <f t="shared" si="0"/>
        <v>32</v>
      </c>
      <c r="H5" s="2">
        <f t="shared" si="0"/>
        <v>36</v>
      </c>
      <c r="I5" s="2">
        <f t="shared" si="0"/>
        <v>39</v>
      </c>
      <c r="J5" s="2">
        <f t="shared" si="0"/>
        <v>46</v>
      </c>
      <c r="K5" s="2">
        <f t="shared" si="0"/>
        <v>46</v>
      </c>
      <c r="L5" s="2">
        <f t="shared" si="0"/>
        <v>45</v>
      </c>
      <c r="M5" s="2">
        <f t="shared" si="0"/>
        <v>45</v>
      </c>
    </row>
    <row r="6" spans="1:13" x14ac:dyDescent="0.35">
      <c r="A6" s="3" t="s">
        <v>178</v>
      </c>
      <c r="B6" s="2">
        <f>COUNTIF('Customer Data'!$T$2:$T$51,B$2)</f>
        <v>10</v>
      </c>
      <c r="C6" s="2">
        <f>COUNTIF('Customer Data'!$T$2:$T$51,C$2)</f>
        <v>6</v>
      </c>
      <c r="D6" s="2">
        <f>COUNTIF('Customer Data'!$T$2:$T$51,D$2)</f>
        <v>7</v>
      </c>
      <c r="E6" s="2">
        <f>COUNTIF('Customer Data'!$T$2:$T$51,E$2)</f>
        <v>8</v>
      </c>
      <c r="F6" s="2">
        <f>COUNTIF('Customer Data'!$T$2:$T$51,F$2)</f>
        <v>4</v>
      </c>
      <c r="G6" s="2">
        <f>COUNTIF('Customer Data'!$T$2:$T$51,G$2)</f>
        <v>4</v>
      </c>
      <c r="H6" s="2">
        <f>COUNTIF('Customer Data'!$T$2:$T$51,H$2)</f>
        <v>4</v>
      </c>
      <c r="I6" s="2">
        <f>COUNTIF('Customer Data'!$T$2:$T$51,I$2)</f>
        <v>7</v>
      </c>
      <c r="J6" s="2">
        <f>COUNTIF('Customer Data'!$T$2:$T$51,J$2)</f>
        <v>0</v>
      </c>
      <c r="K6" s="2">
        <f>COUNTIF('Customer Data'!$T$2:$T$51,K$2)</f>
        <v>0</v>
      </c>
      <c r="L6" s="2">
        <f>COUNTIF('Customer Data'!$T$2:$T$51,L$2)</f>
        <v>0</v>
      </c>
      <c r="M6" s="2">
        <f>COUNTIF('Customer Data'!$T$2:$T$51,M$2)</f>
        <v>0</v>
      </c>
    </row>
    <row r="7" spans="1:13" x14ac:dyDescent="0.35">
      <c r="A7" s="3" t="s">
        <v>179</v>
      </c>
      <c r="B7" s="2">
        <f>COUNTIF('Customer Data'!$V$2:$V$51,B$2)</f>
        <v>0</v>
      </c>
      <c r="C7" s="2">
        <f>COUNTIF('Customer Data'!$V$2:$V$51,C$2)</f>
        <v>1</v>
      </c>
      <c r="D7" s="2">
        <f>COUNTIF('Customer Data'!$V$2:$V$51,D$2)</f>
        <v>0</v>
      </c>
      <c r="E7" s="2">
        <f>COUNTIF('Customer Data'!$V$2:$V$51,E$2)</f>
        <v>1</v>
      </c>
      <c r="F7" s="2">
        <f>COUNTIF('Customer Data'!$V$2:$V$51,F$2)</f>
        <v>1</v>
      </c>
      <c r="G7" s="2">
        <f>COUNTIF('Customer Data'!$V$2:$V$51,G$2)</f>
        <v>0</v>
      </c>
      <c r="H7" s="2">
        <f>COUNTIF('Customer Data'!$V$2:$V$51,H$2)</f>
        <v>1</v>
      </c>
      <c r="I7" s="2">
        <f>COUNTIF('Customer Data'!$V$2:$V$51,I$2)</f>
        <v>0</v>
      </c>
      <c r="J7" s="2">
        <f>COUNTIF('Customer Data'!$V$2:$V$51,J$2)</f>
        <v>0</v>
      </c>
      <c r="K7" s="2">
        <f>COUNTIF('Customer Data'!$V$2:$V$51,K$2)</f>
        <v>1</v>
      </c>
      <c r="L7" s="2">
        <f>COUNTIF('Customer Data'!$V$2:$V$51,L$2)</f>
        <v>0</v>
      </c>
      <c r="M7" s="2">
        <f>COUNTIF('Customer Data'!$V$2:$V$51,M$2)</f>
        <v>1</v>
      </c>
    </row>
    <row r="8" spans="1:13" x14ac:dyDescent="0.35">
      <c r="A8" s="3" t="s">
        <v>180</v>
      </c>
      <c r="B8" s="2">
        <f t="shared" ref="B8:M8" si="1">B5+B6-B7</f>
        <v>10</v>
      </c>
      <c r="C8" s="2">
        <f t="shared" si="1"/>
        <v>15</v>
      </c>
      <c r="D8" s="2">
        <f t="shared" si="1"/>
        <v>22</v>
      </c>
      <c r="E8" s="2">
        <f t="shared" si="1"/>
        <v>29</v>
      </c>
      <c r="F8" s="2">
        <f t="shared" si="1"/>
        <v>32</v>
      </c>
      <c r="G8" s="2">
        <f t="shared" si="1"/>
        <v>36</v>
      </c>
      <c r="H8" s="2">
        <f t="shared" si="1"/>
        <v>39</v>
      </c>
      <c r="I8" s="2">
        <f t="shared" si="1"/>
        <v>46</v>
      </c>
      <c r="J8" s="2">
        <f t="shared" si="1"/>
        <v>46</v>
      </c>
      <c r="K8" s="2">
        <f t="shared" si="1"/>
        <v>45</v>
      </c>
      <c r="L8" s="2">
        <f t="shared" si="1"/>
        <v>45</v>
      </c>
      <c r="M8" s="2">
        <f t="shared" si="1"/>
        <v>44</v>
      </c>
    </row>
    <row r="9" spans="1:13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x14ac:dyDescent="0.35">
      <c r="A10" s="23" t="s">
        <v>181</v>
      </c>
      <c r="B10" s="5">
        <v>0</v>
      </c>
      <c r="C10" s="5">
        <f t="shared" ref="C10:M10" si="2">B15</f>
        <v>3349</v>
      </c>
      <c r="D10" s="5">
        <f t="shared" si="2"/>
        <v>6552</v>
      </c>
      <c r="E10" s="5">
        <f t="shared" si="2"/>
        <v>9059</v>
      </c>
      <c r="F10" s="5">
        <f t="shared" si="2"/>
        <v>12490</v>
      </c>
      <c r="G10" s="5">
        <f t="shared" si="2"/>
        <v>14283</v>
      </c>
      <c r="H10" s="5">
        <f t="shared" si="2"/>
        <v>15883</v>
      </c>
      <c r="I10" s="5">
        <f t="shared" si="2"/>
        <v>16981</v>
      </c>
      <c r="J10" s="5">
        <f t="shared" si="2"/>
        <v>19452</v>
      </c>
      <c r="K10" s="5">
        <f t="shared" si="2"/>
        <v>20105</v>
      </c>
      <c r="L10" s="5">
        <f t="shared" si="2"/>
        <v>19990</v>
      </c>
      <c r="M10" s="5">
        <f t="shared" si="2"/>
        <v>20086</v>
      </c>
    </row>
    <row r="11" spans="1:13" x14ac:dyDescent="0.35">
      <c r="A11" s="3" t="s">
        <v>182</v>
      </c>
      <c r="B11" s="5">
        <f>SUMIF('Customer Data'!$T$2:$T$51,B$2,'Customer Data'!$K$2:$K$51)</f>
        <v>3290</v>
      </c>
      <c r="C11" s="5">
        <f>SUMIF('Customer Data'!$T$2:$T$51,C$2,'Customer Data'!$K$2:$K$51)</f>
        <v>3294</v>
      </c>
      <c r="D11" s="5">
        <f>SUMIF('Customer Data'!$T$2:$T$51,D$2,'Customer Data'!$K$2:$K$51)</f>
        <v>1893</v>
      </c>
      <c r="E11" s="5">
        <f>SUMIF('Customer Data'!$T$2:$T$51,E$2,'Customer Data'!$K$2:$K$51)</f>
        <v>2992</v>
      </c>
      <c r="F11" s="5">
        <f>SUMIF('Customer Data'!$T$2:$T$51,F$2,'Customer Data'!$K$2:$K$51)</f>
        <v>1396</v>
      </c>
      <c r="G11" s="5">
        <f>SUMIF('Customer Data'!$T$2:$T$51,G$2,'Customer Data'!$K$2:$K$51)</f>
        <v>1296</v>
      </c>
      <c r="H11" s="5">
        <f>SUMIF('Customer Data'!$T$2:$T$51,H$2,'Customer Data'!$K$2:$K$51)</f>
        <v>1296</v>
      </c>
      <c r="I11" s="5">
        <f>SUMIF('Customer Data'!$T$2:$T$51,I$2,'Customer Data'!$K$2:$K$51)</f>
        <v>1993</v>
      </c>
      <c r="J11" s="5">
        <f>SUMIF('Customer Data'!$T$2:$T$51,J$2,'Customer Data'!$K$2:$K$51)</f>
        <v>0</v>
      </c>
      <c r="K11" s="5">
        <f>SUMIF('Customer Data'!$T$2:$T$51,K$2,'Customer Data'!$K$2:$K$51)</f>
        <v>0</v>
      </c>
      <c r="L11" s="5">
        <f>SUMIF('Customer Data'!$T$2:$T$51,L$2,'Customer Data'!$K$2:$K$51)</f>
        <v>0</v>
      </c>
      <c r="M11" s="5">
        <f>SUMIF('Customer Data'!$T$2:$T$51,M$2,'Customer Data'!$K$2:$K$51)</f>
        <v>0</v>
      </c>
    </row>
    <row r="12" spans="1:13" x14ac:dyDescent="0.35">
      <c r="A12" s="3" t="s">
        <v>38</v>
      </c>
      <c r="B12" s="5">
        <f>SUMIF('Customer Data'!$U$2:$U$51,B$2,'Customer Data'!$L$2:$L$51)</f>
        <v>59</v>
      </c>
      <c r="C12" s="5">
        <f>SUMIF('Customer Data'!$U$2:$U$51,C$2,'Customer Data'!$L$2:$L$51)</f>
        <v>167</v>
      </c>
      <c r="D12" s="5">
        <f>SUMIF('Customer Data'!$U$2:$U$51,D$2,'Customer Data'!$L$2:$L$51)</f>
        <v>614</v>
      </c>
      <c r="E12" s="5">
        <f>SUMIF('Customer Data'!$U$2:$U$51,E$2,'Customer Data'!$L$2:$L$51)</f>
        <v>776</v>
      </c>
      <c r="F12" s="5">
        <f>SUMIF('Customer Data'!$U$2:$U$51,F$2,'Customer Data'!$L$2:$L$51)</f>
        <v>646</v>
      </c>
      <c r="G12" s="5">
        <f>SUMIF('Customer Data'!$U$2:$U$51,G$2,'Customer Data'!$L$2:$L$51)</f>
        <v>304</v>
      </c>
      <c r="H12" s="5">
        <f>SUMIF('Customer Data'!$U$2:$U$51,H$2,'Customer Data'!$L$2:$L$51)</f>
        <v>623</v>
      </c>
      <c r="I12" s="5">
        <f>SUMIF('Customer Data'!$U$2:$U$51,I$2,'Customer Data'!$L$2:$L$51)</f>
        <v>478</v>
      </c>
      <c r="J12" s="5">
        <f>SUMIF('Customer Data'!$U$2:$U$51,J$2,'Customer Data'!$L$2:$L$51)</f>
        <v>653</v>
      </c>
      <c r="K12" s="5">
        <f>SUMIF('Customer Data'!$U$2:$U$51,K$2,'Customer Data'!$L$2:$L$51)</f>
        <v>269</v>
      </c>
      <c r="L12" s="5">
        <f>SUMIF('Customer Data'!$U$2:$U$51,L$2,'Customer Data'!$L$2:$L$51)</f>
        <v>96</v>
      </c>
      <c r="M12" s="5">
        <f>SUMIF('Customer Data'!$U$2:$U$51,M$2,'Customer Data'!$L$2:$L$51)</f>
        <v>0</v>
      </c>
    </row>
    <row r="13" spans="1:13" x14ac:dyDescent="0.35">
      <c r="A13" s="3" t="s">
        <v>183</v>
      </c>
      <c r="B13" s="5">
        <f>SUMIF('Customer Data'!$V$2:$V$51,B$2,'Customer Data'!$N$2:$N$51)</f>
        <v>0</v>
      </c>
      <c r="C13" s="5">
        <f>SUMIF('Customer Data'!$V$2:$V$51,C$2,'Customer Data'!$N$2:$N$51)</f>
        <v>258</v>
      </c>
      <c r="D13" s="5">
        <f>SUMIF('Customer Data'!$V$2:$V$51,D$2,'Customer Data'!$N$2:$N$51)</f>
        <v>0</v>
      </c>
      <c r="E13" s="5">
        <f>SUMIF('Customer Data'!$V$2:$V$51,E$2,'Customer Data'!$N$2:$N$51)</f>
        <v>337</v>
      </c>
      <c r="F13" s="5">
        <f>SUMIF('Customer Data'!$V$2:$V$51,F$2,'Customer Data'!$N$2:$N$51)</f>
        <v>249</v>
      </c>
      <c r="G13" s="5">
        <f>SUMIF('Customer Data'!$V$2:$V$51,G$2,'Customer Data'!$N$2:$N$51)</f>
        <v>0</v>
      </c>
      <c r="H13" s="5">
        <f>SUMIF('Customer Data'!$V$2:$V$51,H$2,'Customer Data'!$N$2:$N$51)</f>
        <v>821</v>
      </c>
      <c r="I13" s="5">
        <f>SUMIF('Customer Data'!$V$2:$V$51,I$2,'Customer Data'!$N$2:$N$51)</f>
        <v>0</v>
      </c>
      <c r="J13" s="5">
        <f>SUMIF('Customer Data'!$V$2:$V$51,J$2,'Customer Data'!$N$2:$N$51)</f>
        <v>0</v>
      </c>
      <c r="K13" s="5">
        <f>SUMIF('Customer Data'!$V$2:$V$51,K$2,'Customer Data'!$N$2:$N$51)</f>
        <v>384</v>
      </c>
      <c r="L13" s="5">
        <f>SUMIF('Customer Data'!$V$2:$V$51,L$2,'Customer Data'!$N$2:$N$51)</f>
        <v>0</v>
      </c>
      <c r="M13" s="5">
        <f>SUMIF('Customer Data'!$V$2:$V$51,M$2,'Customer Data'!$N$2:$N$51)</f>
        <v>234</v>
      </c>
    </row>
    <row r="14" spans="1:13" x14ac:dyDescent="0.35">
      <c r="A14" s="3" t="s">
        <v>184</v>
      </c>
      <c r="B14" s="5">
        <f t="shared" ref="B14:M14" si="3">B11+B12-B13</f>
        <v>3349</v>
      </c>
      <c r="C14" s="5">
        <f t="shared" si="3"/>
        <v>3203</v>
      </c>
      <c r="D14" s="5">
        <f t="shared" si="3"/>
        <v>2507</v>
      </c>
      <c r="E14" s="5">
        <f t="shared" si="3"/>
        <v>3431</v>
      </c>
      <c r="F14" s="5">
        <f t="shared" si="3"/>
        <v>1793</v>
      </c>
      <c r="G14" s="5">
        <f t="shared" si="3"/>
        <v>1600</v>
      </c>
      <c r="H14" s="5">
        <f t="shared" si="3"/>
        <v>1098</v>
      </c>
      <c r="I14" s="5">
        <f t="shared" si="3"/>
        <v>2471</v>
      </c>
      <c r="J14" s="5">
        <f t="shared" si="3"/>
        <v>653</v>
      </c>
      <c r="K14" s="5">
        <f t="shared" si="3"/>
        <v>-115</v>
      </c>
      <c r="L14" s="5">
        <f t="shared" si="3"/>
        <v>96</v>
      </c>
      <c r="M14" s="5">
        <f t="shared" si="3"/>
        <v>-234</v>
      </c>
    </row>
    <row r="15" spans="1:13" x14ac:dyDescent="0.35">
      <c r="A15" s="3" t="s">
        <v>185</v>
      </c>
      <c r="B15" s="5">
        <f t="shared" ref="B15:M15" si="4">B10+B14</f>
        <v>3349</v>
      </c>
      <c r="C15" s="5">
        <f t="shared" si="4"/>
        <v>6552</v>
      </c>
      <c r="D15" s="5">
        <f t="shared" si="4"/>
        <v>9059</v>
      </c>
      <c r="E15" s="5">
        <f t="shared" si="4"/>
        <v>12490</v>
      </c>
      <c r="F15" s="5">
        <f t="shared" si="4"/>
        <v>14283</v>
      </c>
      <c r="G15" s="5">
        <f t="shared" si="4"/>
        <v>15883</v>
      </c>
      <c r="H15" s="5">
        <f t="shared" si="4"/>
        <v>16981</v>
      </c>
      <c r="I15" s="5">
        <f t="shared" si="4"/>
        <v>19452</v>
      </c>
      <c r="J15" s="5">
        <f t="shared" si="4"/>
        <v>20105</v>
      </c>
      <c r="K15" s="5">
        <f t="shared" si="4"/>
        <v>19990</v>
      </c>
      <c r="L15" s="5">
        <f t="shared" si="4"/>
        <v>20086</v>
      </c>
      <c r="M15" s="5">
        <f t="shared" si="4"/>
        <v>19852</v>
      </c>
    </row>
    <row r="16" spans="1:13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22" x14ac:dyDescent="0.35">
      <c r="A17" s="23" t="s">
        <v>186</v>
      </c>
      <c r="B17" s="6" t="str">
        <f t="shared" ref="B17:M17" si="5">IF(B5=0,"",B7/B5)</f>
        <v/>
      </c>
      <c r="C17" s="6">
        <f t="shared" si="5"/>
        <v>0.1</v>
      </c>
      <c r="D17" s="6">
        <f t="shared" si="5"/>
        <v>0</v>
      </c>
      <c r="E17" s="6">
        <f t="shared" si="5"/>
        <v>4.5454545454545456E-2</v>
      </c>
      <c r="F17" s="6">
        <f t="shared" si="5"/>
        <v>3.4482758620689655E-2</v>
      </c>
      <c r="G17" s="6">
        <f t="shared" si="5"/>
        <v>0</v>
      </c>
      <c r="H17" s="6">
        <f t="shared" si="5"/>
        <v>2.7777777777777776E-2</v>
      </c>
      <c r="I17" s="6">
        <f t="shared" si="5"/>
        <v>0</v>
      </c>
      <c r="J17" s="6">
        <f t="shared" si="5"/>
        <v>0</v>
      </c>
      <c r="K17" s="6">
        <f t="shared" si="5"/>
        <v>2.1739130434782608E-2</v>
      </c>
      <c r="L17" s="6">
        <f t="shared" si="5"/>
        <v>0</v>
      </c>
      <c r="M17" s="6">
        <f t="shared" si="5"/>
        <v>2.2222222222222223E-2</v>
      </c>
    </row>
    <row r="18" spans="1:22" x14ac:dyDescent="0.35">
      <c r="A18" s="3" t="s">
        <v>187</v>
      </c>
      <c r="B18" s="6" t="str">
        <f t="shared" ref="B18:M18" si="6">IF(B10=0,"",B15/B10-1)</f>
        <v/>
      </c>
      <c r="C18" s="6">
        <f t="shared" si="6"/>
        <v>0.9564048969841743</v>
      </c>
      <c r="D18" s="6">
        <f t="shared" si="6"/>
        <v>0.3826312576312576</v>
      </c>
      <c r="E18" s="6">
        <f t="shared" si="6"/>
        <v>0.37873937520697654</v>
      </c>
      <c r="F18" s="6">
        <f t="shared" si="6"/>
        <v>0.14355484387509998</v>
      </c>
      <c r="G18" s="6">
        <f t="shared" si="6"/>
        <v>0.11202128404396827</v>
      </c>
      <c r="H18" s="6">
        <f t="shared" si="6"/>
        <v>6.9130516904866823E-2</v>
      </c>
      <c r="I18" s="6">
        <f t="shared" si="6"/>
        <v>0.14551557623225952</v>
      </c>
      <c r="J18" s="6">
        <f t="shared" si="6"/>
        <v>3.3569812872712212E-2</v>
      </c>
      <c r="K18" s="6">
        <f t="shared" si="6"/>
        <v>-5.7199701566774674E-3</v>
      </c>
      <c r="L18" s="6">
        <f t="shared" si="6"/>
        <v>4.8024012006002703E-3</v>
      </c>
      <c r="M18" s="6">
        <f t="shared" si="6"/>
        <v>-1.1649905406750927E-2</v>
      </c>
    </row>
    <row r="19" spans="1:22" x14ac:dyDescent="0.35">
      <c r="A19" s="3" t="s">
        <v>188</v>
      </c>
      <c r="B19" s="6" t="str">
        <f t="shared" ref="B19:M19" si="7">IF(B10=0,"",(B10+B12-B13)/B10)</f>
        <v/>
      </c>
      <c r="C19" s="6">
        <f t="shared" si="7"/>
        <v>0.97282770976410871</v>
      </c>
      <c r="D19" s="6">
        <f t="shared" si="7"/>
        <v>1.0937118437118436</v>
      </c>
      <c r="E19" s="6">
        <f t="shared" si="7"/>
        <v>1.0484600949332157</v>
      </c>
      <c r="F19" s="6">
        <f t="shared" si="7"/>
        <v>1.0317854283426742</v>
      </c>
      <c r="G19" s="6">
        <f t="shared" si="7"/>
        <v>1.0212840439683539</v>
      </c>
      <c r="H19" s="6">
        <f t="shared" si="7"/>
        <v>0.98753384121387644</v>
      </c>
      <c r="I19" s="6">
        <f t="shared" si="7"/>
        <v>1.0281491078263942</v>
      </c>
      <c r="J19" s="6">
        <f t="shared" si="7"/>
        <v>1.0335698128727122</v>
      </c>
      <c r="K19" s="6">
        <f t="shared" si="7"/>
        <v>0.99428002984332253</v>
      </c>
      <c r="L19" s="6">
        <f t="shared" si="7"/>
        <v>1.0048024012006003</v>
      </c>
      <c r="M19" s="6">
        <f t="shared" si="7"/>
        <v>0.98835009459324907</v>
      </c>
    </row>
    <row r="20" spans="1:22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22" x14ac:dyDescent="0.35">
      <c r="A21" s="23" t="s">
        <v>189</v>
      </c>
      <c r="B21" s="5">
        <f>Assumptions!C4</f>
        <v>44927</v>
      </c>
      <c r="C21" s="5">
        <f>Assumptions!C5</f>
        <v>44958</v>
      </c>
      <c r="D21" s="5">
        <f>Assumptions!C6</f>
        <v>44986</v>
      </c>
      <c r="E21" s="5">
        <f>Assumptions!C7</f>
        <v>45017</v>
      </c>
      <c r="F21" s="5">
        <f>Assumptions!C8</f>
        <v>45047</v>
      </c>
      <c r="G21" s="5">
        <f>Assumptions!C9</f>
        <v>45078</v>
      </c>
      <c r="H21" s="5">
        <f>Assumptions!C10</f>
        <v>45108</v>
      </c>
      <c r="I21" s="5">
        <f>Assumptions!C11</f>
        <v>45139</v>
      </c>
      <c r="J21" s="5">
        <f>Assumptions!C12</f>
        <v>45170</v>
      </c>
      <c r="K21" s="5">
        <f>Assumptions!C13</f>
        <v>45200</v>
      </c>
      <c r="L21" s="5">
        <f>Assumptions!C14</f>
        <v>45231</v>
      </c>
      <c r="M21" s="5">
        <f>Assumptions!C15</f>
        <v>45261</v>
      </c>
    </row>
    <row r="22" spans="1:22" x14ac:dyDescent="0.35">
      <c r="A22" s="58" t="s">
        <v>190</v>
      </c>
      <c r="B22" s="57">
        <f t="shared" ref="B22:M22" si="8">IF(B6=0,"",B21/B6)</f>
        <v>4492.7</v>
      </c>
      <c r="C22" s="57">
        <f t="shared" si="8"/>
        <v>7493</v>
      </c>
      <c r="D22" s="57">
        <f t="shared" si="8"/>
        <v>6426.5714285714284</v>
      </c>
      <c r="E22" s="57">
        <f t="shared" si="8"/>
        <v>5627.125</v>
      </c>
      <c r="F22" s="57">
        <f t="shared" si="8"/>
        <v>11261.75</v>
      </c>
      <c r="G22" s="57">
        <f t="shared" si="8"/>
        <v>11269.5</v>
      </c>
      <c r="H22" s="57">
        <f t="shared" si="8"/>
        <v>11277</v>
      </c>
      <c r="I22" s="57">
        <f t="shared" si="8"/>
        <v>6448.4285714285716</v>
      </c>
      <c r="J22" s="57" t="str">
        <f t="shared" si="8"/>
        <v/>
      </c>
      <c r="K22" s="57" t="str">
        <f t="shared" si="8"/>
        <v/>
      </c>
      <c r="L22" s="57" t="str">
        <f t="shared" si="8"/>
        <v/>
      </c>
      <c r="M22" s="57" t="str">
        <f t="shared" si="8"/>
        <v/>
      </c>
    </row>
    <row r="23" spans="1:22" s="56" customFormat="1" x14ac:dyDescent="0.35"/>
    <row r="24" spans="1:22" s="56" customFormat="1" x14ac:dyDescent="0.35">
      <c r="A24" s="59" t="s">
        <v>191</v>
      </c>
      <c r="B24" s="57">
        <f>M15-SUMIF('Customer Data'!$P$2:$P$51,"Active",'Customer Data'!$N$2:$N$51)</f>
        <v>-2283</v>
      </c>
    </row>
    <row r="25" spans="1:22" x14ac:dyDescent="0.35"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</row>
    <row r="26" spans="1:22" x14ac:dyDescent="0.35"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</row>
    <row r="27" spans="1:22" x14ac:dyDescent="0.35"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</row>
    <row r="28" spans="1:22" x14ac:dyDescent="0.35"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</row>
    <row r="29" spans="1:22" x14ac:dyDescent="0.35"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</row>
  </sheetData>
  <mergeCells count="1">
    <mergeCell ref="A1:M1"/>
  </mergeCells>
  <conditionalFormatting sqref="B17:M17">
    <cfRule type="colorScale" priority="1">
      <colorScale>
        <cfvo type="num" val="0"/>
        <cfvo type="num" val="0.05"/>
        <cfvo type="num" val="0.15"/>
        <color rgb="FFE2F0D9"/>
        <color rgb="FFFFF2CC"/>
        <color rgb="FFF4CCCC"/>
      </colorScale>
    </cfRule>
  </conditionalFormatting>
  <conditionalFormatting sqref="B18:M18">
    <cfRule type="expression" dxfId="0" priority="2">
      <formula>B18&lt;0</formula>
    </cfRule>
  </conditionalFormatting>
  <pageMargins left="0.75" right="0.75" top="1" bottom="1" header="0.5" footer="0.5"/>
  <ignoredErrors>
    <ignoredError xmlns:x16r3="http://schemas.microsoft.com/office/spreadsheetml/2018/08/main" sqref="D21:M21 B21:C21" x16r3:misleadingFormat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showGridLines="0" workbookViewId="0">
      <selection sqref="A1:I1"/>
    </sheetView>
  </sheetViews>
  <sheetFormatPr defaultRowHeight="14.5" x14ac:dyDescent="0.35"/>
  <cols>
    <col min="1" max="2" width="11" customWidth="1"/>
    <col min="3" max="3" width="14" customWidth="1"/>
    <col min="4" max="4" width="15" customWidth="1"/>
    <col min="5" max="5" width="12" customWidth="1"/>
    <col min="6" max="6" width="15" customWidth="1"/>
    <col min="7" max="7" width="18" customWidth="1"/>
    <col min="8" max="8" width="16" customWidth="1"/>
    <col min="9" max="9" width="15" customWidth="1"/>
  </cols>
  <sheetData>
    <row r="1" spans="1:9" ht="18.5" x14ac:dyDescent="0.45">
      <c r="A1" s="36" t="s">
        <v>192</v>
      </c>
      <c r="B1" s="37"/>
      <c r="C1" s="37"/>
      <c r="D1" s="37"/>
      <c r="E1" s="37"/>
      <c r="F1" s="37"/>
      <c r="G1" s="37"/>
      <c r="H1" s="37"/>
      <c r="I1" s="37"/>
    </row>
    <row r="3" spans="1:9" x14ac:dyDescent="0.35">
      <c r="A3" s="17" t="s">
        <v>193</v>
      </c>
      <c r="B3" s="17" t="s">
        <v>194</v>
      </c>
      <c r="C3" s="17" t="s">
        <v>195</v>
      </c>
      <c r="D3" s="17" t="s">
        <v>196</v>
      </c>
      <c r="E3" s="17" t="s">
        <v>197</v>
      </c>
      <c r="F3" s="17" t="s">
        <v>198</v>
      </c>
      <c r="G3" s="17" t="s">
        <v>199</v>
      </c>
      <c r="H3" s="17" t="s">
        <v>200</v>
      </c>
      <c r="I3" s="17" t="s">
        <v>201</v>
      </c>
    </row>
    <row r="4" spans="1:9" x14ac:dyDescent="0.35">
      <c r="A4" s="1">
        <v>44927</v>
      </c>
      <c r="B4" s="8">
        <f>COUNTIF('Customer Data'!$J$2:$J$51,$A4)</f>
        <v>10</v>
      </c>
      <c r="C4" s="8">
        <f>COUNTIFS('Customer Data'!$J$2:$J$51,$A4,'Customer Data'!$P$2:$P$51,"Active")</f>
        <v>10</v>
      </c>
      <c r="D4" s="8">
        <f t="shared" ref="D4:D11" si="0">B4-C4</f>
        <v>0</v>
      </c>
      <c r="E4" s="9">
        <f t="shared" ref="E4:E11" si="1">IF(B4=0,"",C4/B4)</f>
        <v>1</v>
      </c>
      <c r="F4" s="7">
        <f>IF(B4=0,"",SUMIF('Customer Data'!$J$2:$J$51,$A4,'Customer Data'!$K$2:$K$51)/B4)</f>
        <v>329</v>
      </c>
      <c r="G4" s="7">
        <f>IF(B4=0,"",SUMIF('Customer Data'!$J$2:$J$51,$A4,'Customer Data'!$N$2:$N$51)/B4)</f>
        <v>368.5</v>
      </c>
      <c r="H4" s="8">
        <f>COUNTIFS('Customer Data'!$J$2:$J$51,$A4,'Customer Data'!$H$2:$H$51,"Annual")</f>
        <v>2</v>
      </c>
      <c r="I4" s="7">
        <f>SUMIF('Customer Data'!$J$2:$J$51,$A4,'Customer Data'!$R$2:$R$51)</f>
        <v>44220</v>
      </c>
    </row>
    <row r="5" spans="1:9" x14ac:dyDescent="0.35">
      <c r="A5" s="1">
        <v>44958</v>
      </c>
      <c r="B5" s="8">
        <f>COUNTIF('Customer Data'!$J$2:$J$51,$A5)</f>
        <v>6</v>
      </c>
      <c r="C5" s="8">
        <f>COUNTIFS('Customer Data'!$J$2:$J$51,$A5,'Customer Data'!$P$2:$P$51,"Active")</f>
        <v>6</v>
      </c>
      <c r="D5" s="8">
        <f t="shared" si="0"/>
        <v>0</v>
      </c>
      <c r="E5" s="9">
        <f t="shared" si="1"/>
        <v>1</v>
      </c>
      <c r="F5" s="7">
        <f>IF(B5=0,"",SUMIF('Customer Data'!$J$2:$J$51,$A5,'Customer Data'!$K$2:$K$51)/B5)</f>
        <v>549</v>
      </c>
      <c r="G5" s="7">
        <f>IF(B5=0,"",SUMIF('Customer Data'!$J$2:$J$51,$A5,'Customer Data'!$N$2:$N$51)/B5)</f>
        <v>681.5</v>
      </c>
      <c r="H5" s="8">
        <f>COUNTIFS('Customer Data'!$J$2:$J$51,$A5,'Customer Data'!$H$2:$H$51,"Annual")</f>
        <v>3</v>
      </c>
      <c r="I5" s="7">
        <f>SUMIF('Customer Data'!$J$2:$J$51,$A5,'Customer Data'!$R$2:$R$51)</f>
        <v>49068</v>
      </c>
    </row>
    <row r="6" spans="1:9" x14ac:dyDescent="0.35">
      <c r="A6" s="1">
        <v>44986</v>
      </c>
      <c r="B6" s="8">
        <f>COUNTIF('Customer Data'!$J$2:$J$51,$A6)</f>
        <v>7</v>
      </c>
      <c r="C6" s="8">
        <f>COUNTIFS('Customer Data'!$J$2:$J$51,$A6,'Customer Data'!$P$2:$P$51,"Active")</f>
        <v>7</v>
      </c>
      <c r="D6" s="8">
        <f t="shared" si="0"/>
        <v>0</v>
      </c>
      <c r="E6" s="9">
        <f t="shared" si="1"/>
        <v>1</v>
      </c>
      <c r="F6" s="7">
        <f>IF(B6=0,"",SUMIF('Customer Data'!$J$2:$J$51,$A6,'Customer Data'!$K$2:$K$51)/B6)</f>
        <v>270.42857142857144</v>
      </c>
      <c r="G6" s="7">
        <f>IF(B6=0,"",SUMIF('Customer Data'!$J$2:$J$51,$A6,'Customer Data'!$N$2:$N$51)/B6)</f>
        <v>383</v>
      </c>
      <c r="H6" s="8">
        <f>COUNTIFS('Customer Data'!$J$2:$J$51,$A6,'Customer Data'!$H$2:$H$51,"Annual")</f>
        <v>1</v>
      </c>
      <c r="I6" s="7">
        <f>SUMIF('Customer Data'!$J$2:$J$51,$A6,'Customer Data'!$R$2:$R$51)</f>
        <v>32172</v>
      </c>
    </row>
    <row r="7" spans="1:9" x14ac:dyDescent="0.35">
      <c r="A7" s="1">
        <v>45017</v>
      </c>
      <c r="B7" s="8">
        <f>COUNTIF('Customer Data'!$J$2:$J$51,$A7)</f>
        <v>8</v>
      </c>
      <c r="C7" s="8">
        <f>COUNTIFS('Customer Data'!$J$2:$J$51,$A7,'Customer Data'!$P$2:$P$51,"Active")</f>
        <v>8</v>
      </c>
      <c r="D7" s="8">
        <f t="shared" si="0"/>
        <v>0</v>
      </c>
      <c r="E7" s="9">
        <f t="shared" si="1"/>
        <v>1</v>
      </c>
      <c r="F7" s="7">
        <f>IF(B7=0,"",SUMIF('Customer Data'!$J$2:$J$51,$A7,'Customer Data'!$K$2:$K$51)/B7)</f>
        <v>374</v>
      </c>
      <c r="G7" s="7">
        <f>IF(B7=0,"",SUMIF('Customer Data'!$J$2:$J$51,$A7,'Customer Data'!$N$2:$N$51)/B7)</f>
        <v>468.25</v>
      </c>
      <c r="H7" s="8">
        <f>COUNTIFS('Customer Data'!$J$2:$J$51,$A7,'Customer Data'!$H$2:$H$51,"Annual")</f>
        <v>1</v>
      </c>
      <c r="I7" s="7">
        <f>SUMIF('Customer Data'!$J$2:$J$51,$A7,'Customer Data'!$R$2:$R$51)</f>
        <v>44952</v>
      </c>
    </row>
    <row r="8" spans="1:9" x14ac:dyDescent="0.35">
      <c r="A8" s="1">
        <v>45047</v>
      </c>
      <c r="B8" s="8">
        <f>COUNTIF('Customer Data'!$J$2:$J$51,$A8)</f>
        <v>4</v>
      </c>
      <c r="C8" s="8">
        <f>COUNTIFS('Customer Data'!$J$2:$J$51,$A8,'Customer Data'!$P$2:$P$51,"Active")</f>
        <v>4</v>
      </c>
      <c r="D8" s="8">
        <f t="shared" si="0"/>
        <v>0</v>
      </c>
      <c r="E8" s="9">
        <f t="shared" si="1"/>
        <v>1</v>
      </c>
      <c r="F8" s="7">
        <f>IF(B8=0,"",SUMIF('Customer Data'!$J$2:$J$51,$A8,'Customer Data'!$K$2:$K$51)/B8)</f>
        <v>349</v>
      </c>
      <c r="G8" s="7">
        <f>IF(B8=0,"",SUMIF('Customer Data'!$J$2:$J$51,$A8,'Customer Data'!$N$2:$N$51)/B8)</f>
        <v>418.25</v>
      </c>
      <c r="H8" s="8">
        <f>COUNTIFS('Customer Data'!$J$2:$J$51,$A8,'Customer Data'!$H$2:$H$51,"Annual")</f>
        <v>1</v>
      </c>
      <c r="I8" s="7">
        <f>SUMIF('Customer Data'!$J$2:$J$51,$A8,'Customer Data'!$R$2:$R$51)</f>
        <v>20076</v>
      </c>
    </row>
    <row r="9" spans="1:9" x14ac:dyDescent="0.35">
      <c r="A9" s="1">
        <v>45078</v>
      </c>
      <c r="B9" s="8">
        <f>COUNTIF('Customer Data'!$J$2:$J$51,$A9)</f>
        <v>4</v>
      </c>
      <c r="C9" s="8">
        <f>COUNTIFS('Customer Data'!$J$2:$J$51,$A9,'Customer Data'!$P$2:$P$51,"Active")</f>
        <v>4</v>
      </c>
      <c r="D9" s="8">
        <f t="shared" si="0"/>
        <v>0</v>
      </c>
      <c r="E9" s="9">
        <f t="shared" si="1"/>
        <v>1</v>
      </c>
      <c r="F9" s="7">
        <f>IF(B9=0,"",SUMIF('Customer Data'!$J$2:$J$51,$A9,'Customer Data'!$K$2:$K$51)/B9)</f>
        <v>324</v>
      </c>
      <c r="G9" s="7">
        <f>IF(B9=0,"",SUMIF('Customer Data'!$J$2:$J$51,$A9,'Customer Data'!$N$2:$N$51)/B9)</f>
        <v>464</v>
      </c>
      <c r="H9" s="8">
        <f>COUNTIFS('Customer Data'!$J$2:$J$51,$A9,'Customer Data'!$H$2:$H$51,"Annual")</f>
        <v>1</v>
      </c>
      <c r="I9" s="7">
        <f>SUMIF('Customer Data'!$J$2:$J$51,$A9,'Customer Data'!$R$2:$R$51)</f>
        <v>22272</v>
      </c>
    </row>
    <row r="10" spans="1:9" x14ac:dyDescent="0.35">
      <c r="A10" s="1">
        <v>45108</v>
      </c>
      <c r="B10" s="8">
        <f>COUNTIF('Customer Data'!$J$2:$J$51,$A10)</f>
        <v>4</v>
      </c>
      <c r="C10" s="8">
        <f>COUNTIFS('Customer Data'!$J$2:$J$51,$A10,'Customer Data'!$P$2:$P$51,"Active")</f>
        <v>4</v>
      </c>
      <c r="D10" s="8">
        <f t="shared" si="0"/>
        <v>0</v>
      </c>
      <c r="E10" s="9">
        <f t="shared" si="1"/>
        <v>1</v>
      </c>
      <c r="F10" s="7">
        <f>IF(B10=0,"",SUMIF('Customer Data'!$J$2:$J$51,$A10,'Customer Data'!$K$2:$K$51)/B10)</f>
        <v>324</v>
      </c>
      <c r="G10" s="7">
        <f>IF(B10=0,"",SUMIF('Customer Data'!$J$2:$J$51,$A10,'Customer Data'!$N$2:$N$51)/B10)</f>
        <v>435.25</v>
      </c>
      <c r="H10" s="8">
        <f>COUNTIFS('Customer Data'!$J$2:$J$51,$A10,'Customer Data'!$H$2:$H$51,"Annual")</f>
        <v>1</v>
      </c>
      <c r="I10" s="7">
        <f>SUMIF('Customer Data'!$J$2:$J$51,$A10,'Customer Data'!$R$2:$R$51)</f>
        <v>20892</v>
      </c>
    </row>
    <row r="11" spans="1:9" x14ac:dyDescent="0.35">
      <c r="A11" s="1">
        <v>45139</v>
      </c>
      <c r="B11" s="8">
        <f>COUNTIF('Customer Data'!$J$2:$J$51,$A11)</f>
        <v>7</v>
      </c>
      <c r="C11" s="8">
        <f>COUNTIFS('Customer Data'!$J$2:$J$51,$A11,'Customer Data'!$P$2:$P$51,"Active")</f>
        <v>7</v>
      </c>
      <c r="D11" s="8">
        <f t="shared" si="0"/>
        <v>0</v>
      </c>
      <c r="E11" s="9">
        <f t="shared" si="1"/>
        <v>1</v>
      </c>
      <c r="F11" s="7">
        <f>IF(B11=0,"",SUMIF('Customer Data'!$J$2:$J$51,$A11,'Customer Data'!$K$2:$K$51)/B11)</f>
        <v>284.71428571428572</v>
      </c>
      <c r="G11" s="7">
        <f>IF(B11=0,"",SUMIF('Customer Data'!$J$2:$J$51,$A11,'Customer Data'!$N$2:$N$51)/B11)</f>
        <v>380.57142857142856</v>
      </c>
      <c r="H11" s="8">
        <f>COUNTIFS('Customer Data'!$J$2:$J$51,$A11,'Customer Data'!$H$2:$H$51,"Annual")</f>
        <v>2</v>
      </c>
      <c r="I11" s="7">
        <f>SUMIF('Customer Data'!$J$2:$J$51,$A11,'Customer Data'!$R$2:$R$51)</f>
        <v>31968</v>
      </c>
    </row>
  </sheetData>
  <mergeCells count="1">
    <mergeCell ref="A1:I1"/>
  </mergeCells>
  <conditionalFormatting sqref="E4:E11">
    <cfRule type="colorScale" priority="1">
      <colorScale>
        <cfvo type="num" val="0.7"/>
        <cfvo type="num" val="0.85"/>
        <cfvo type="num" val="1"/>
        <color rgb="FFF4CCCC"/>
        <color rgb="FFFFF2CC"/>
        <color rgb="FFE2F0D9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5"/>
  <sheetViews>
    <sheetView showGridLines="0" workbookViewId="0">
      <selection sqref="A1:Y1"/>
    </sheetView>
  </sheetViews>
  <sheetFormatPr defaultRowHeight="14.5" x14ac:dyDescent="0.35"/>
  <cols>
    <col min="1" max="1" width="33" customWidth="1"/>
    <col min="2" max="25" width="11" customWidth="1"/>
  </cols>
  <sheetData>
    <row r="1" spans="1:25" ht="18.5" x14ac:dyDescent="0.45">
      <c r="A1" s="36" t="s">
        <v>202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 spans="1:25" ht="32.5" customHeight="1" x14ac:dyDescent="0.35">
      <c r="A2" s="24" t="s">
        <v>203</v>
      </c>
      <c r="B2" s="38" t="s">
        <v>204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spans="1:25" x14ac:dyDescent="0.35">
      <c r="A3" s="17"/>
      <c r="B3" s="25">
        <v>44927</v>
      </c>
      <c r="C3" s="25">
        <v>44958</v>
      </c>
      <c r="D3" s="25">
        <v>44986</v>
      </c>
      <c r="E3" s="25">
        <v>45017</v>
      </c>
      <c r="F3" s="25">
        <v>45047</v>
      </c>
      <c r="G3" s="25">
        <v>45078</v>
      </c>
      <c r="H3" s="25">
        <v>45108</v>
      </c>
      <c r="I3" s="25">
        <v>45139</v>
      </c>
      <c r="J3" s="25">
        <v>45170</v>
      </c>
      <c r="K3" s="25">
        <v>45200</v>
      </c>
      <c r="L3" s="25">
        <v>45231</v>
      </c>
      <c r="M3" s="25">
        <v>45261</v>
      </c>
      <c r="N3" s="25">
        <v>45292</v>
      </c>
      <c r="O3" s="25">
        <v>45323</v>
      </c>
      <c r="P3" s="25">
        <v>45352</v>
      </c>
      <c r="Q3" s="25">
        <v>45383</v>
      </c>
      <c r="R3" s="25">
        <v>45413</v>
      </c>
      <c r="S3" s="25">
        <v>45444</v>
      </c>
      <c r="T3" s="25">
        <v>45474</v>
      </c>
      <c r="U3" s="25">
        <v>45505</v>
      </c>
      <c r="V3" s="25">
        <v>45536</v>
      </c>
      <c r="W3" s="25">
        <v>45566</v>
      </c>
      <c r="X3" s="25">
        <v>45597</v>
      </c>
      <c r="Y3" s="25">
        <v>45627</v>
      </c>
    </row>
    <row r="5" spans="1:25" x14ac:dyDescent="0.35">
      <c r="A5" s="3" t="s">
        <v>205</v>
      </c>
      <c r="B5" s="5">
        <f>SUMIF('Customer Data'!$T$2:$T$51,B$3,'Customer Data'!$S$2:$S$51)</f>
        <v>19176</v>
      </c>
      <c r="C5" s="5">
        <f>SUMIF('Customer Data'!$T$2:$T$51,C$3,'Customer Data'!$S$2:$S$51)</f>
        <v>25164</v>
      </c>
      <c r="D5" s="5">
        <f>SUMIF('Customer Data'!$T$2:$T$51,D$3,'Customer Data'!$S$2:$S$51)</f>
        <v>5988</v>
      </c>
      <c r="E5" s="5">
        <f>SUMIF('Customer Data'!$T$2:$T$51,E$3,'Customer Data'!$S$2:$S$51)</f>
        <v>9588</v>
      </c>
      <c r="F5" s="5">
        <f>SUMIF('Customer Data'!$T$2:$T$51,F$3,'Customer Data'!$S$2:$S$51)</f>
        <v>9588</v>
      </c>
      <c r="G5" s="5">
        <f>SUMIF('Customer Data'!$T$2:$T$51,G$3,'Customer Data'!$S$2:$S$51)</f>
        <v>9588</v>
      </c>
      <c r="H5" s="5">
        <f>SUMIF('Customer Data'!$T$2:$T$51,H$3,'Customer Data'!$S$2:$S$51)</f>
        <v>5988</v>
      </c>
      <c r="I5" s="5">
        <f>SUMIF('Customer Data'!$T$2:$T$51,I$3,'Customer Data'!$S$2:$S$51)</f>
        <v>11976</v>
      </c>
      <c r="J5" s="5">
        <f>SUMIF('Customer Data'!$T$2:$T$51,J$3,'Customer Data'!$S$2:$S$51)</f>
        <v>0</v>
      </c>
      <c r="K5" s="5">
        <f>SUMIF('Customer Data'!$T$2:$T$51,K$3,'Customer Data'!$S$2:$S$51)</f>
        <v>0</v>
      </c>
      <c r="L5" s="5">
        <f>SUMIF('Customer Data'!$T$2:$T$51,L$3,'Customer Data'!$S$2:$S$51)</f>
        <v>0</v>
      </c>
      <c r="M5" s="5">
        <f>SUMIF('Customer Data'!$T$2:$T$51,M$3,'Customer Data'!$S$2:$S$51)</f>
        <v>0</v>
      </c>
      <c r="N5" s="5">
        <f>SUMIF('Customer Data'!$T$2:$T$51,N$3,'Customer Data'!$S$2:$S$51)</f>
        <v>0</v>
      </c>
      <c r="O5" s="5">
        <f>SUMIF('Customer Data'!$T$2:$T$51,O$3,'Customer Data'!$S$2:$S$51)</f>
        <v>0</v>
      </c>
      <c r="P5" s="5">
        <f>SUMIF('Customer Data'!$T$2:$T$51,P$3,'Customer Data'!$S$2:$S$51)</f>
        <v>0</v>
      </c>
      <c r="Q5" s="5">
        <f>SUMIF('Customer Data'!$T$2:$T$51,Q$3,'Customer Data'!$S$2:$S$51)</f>
        <v>0</v>
      </c>
      <c r="R5" s="5">
        <f>SUMIF('Customer Data'!$T$2:$T$51,R$3,'Customer Data'!$S$2:$S$51)</f>
        <v>0</v>
      </c>
      <c r="S5" s="5">
        <f>SUMIF('Customer Data'!$T$2:$T$51,S$3,'Customer Data'!$S$2:$S$51)</f>
        <v>0</v>
      </c>
      <c r="T5" s="5">
        <f>SUMIF('Customer Data'!$T$2:$T$51,T$3,'Customer Data'!$S$2:$S$51)</f>
        <v>0</v>
      </c>
      <c r="U5" s="5">
        <f>SUMIF('Customer Data'!$T$2:$T$51,U$3,'Customer Data'!$S$2:$S$51)</f>
        <v>0</v>
      </c>
      <c r="V5" s="5">
        <f>SUMIF('Customer Data'!$T$2:$T$51,V$3,'Customer Data'!$S$2:$S$51)</f>
        <v>0</v>
      </c>
      <c r="W5" s="5">
        <f>SUMIF('Customer Data'!$T$2:$T$51,W$3,'Customer Data'!$S$2:$S$51)</f>
        <v>0</v>
      </c>
      <c r="X5" s="5">
        <f>SUMIF('Customer Data'!$T$2:$T$51,X$3,'Customer Data'!$S$2:$S$51)</f>
        <v>0</v>
      </c>
      <c r="Y5" s="5">
        <f>SUMIF('Customer Data'!$T$2:$T$51,Y$3,'Customer Data'!$S$2:$S$51)</f>
        <v>0</v>
      </c>
    </row>
    <row r="6" spans="1:25" x14ac:dyDescent="0.35">
      <c r="A6" s="3" t="s">
        <v>206</v>
      </c>
      <c r="B6" s="5">
        <f>SUMIFS('Customer Data'!$K$2:$K$51,'Customer Data'!$H$2:$H$51,"Monthly",'Customer Data'!$T$2:$T$51,"&lt;="&amp;B$3,'Customer Data'!$X$2:$X$51,"&gt;"&amp;B$3)</f>
        <v>1692</v>
      </c>
      <c r="C6" s="5">
        <f>SUMIFS('Customer Data'!$K$2:$K$51,'Customer Data'!$H$2:$H$51,"Monthly",'Customer Data'!$T$2:$T$51,"&lt;="&amp;C$3,'Customer Data'!$X$2:$X$51,"&gt;"&amp;C$3)</f>
        <v>2690</v>
      </c>
      <c r="D6" s="5">
        <f>SUMIFS('Customer Data'!$K$2:$K$51,'Customer Data'!$H$2:$H$51,"Monthly",'Customer Data'!$T$2:$T$51,"&lt;="&amp;D$3,'Customer Data'!$X$2:$X$51,"&gt;"&amp;D$3)</f>
        <v>4084</v>
      </c>
      <c r="E6" s="5">
        <f>SUMIFS('Customer Data'!$K$2:$K$51,'Customer Data'!$H$2:$H$51,"Monthly",'Customer Data'!$T$2:$T$51,"&lt;="&amp;E$3,'Customer Data'!$X$2:$X$51,"&gt;"&amp;E$3)</f>
        <v>6078</v>
      </c>
      <c r="F6" s="5">
        <f>SUMIFS('Customer Data'!$K$2:$K$51,'Customer Data'!$H$2:$H$51,"Monthly",'Customer Data'!$T$2:$T$51,"&lt;="&amp;F$3,'Customer Data'!$X$2:$X$51,"&gt;"&amp;F$3)</f>
        <v>6576</v>
      </c>
      <c r="G6" s="5">
        <f>SUMIFS('Customer Data'!$K$2:$K$51,'Customer Data'!$H$2:$H$51,"Monthly",'Customer Data'!$T$2:$T$51,"&lt;="&amp;G$3,'Customer Data'!$X$2:$X$51,"&gt;"&amp;G$3)</f>
        <v>7073</v>
      </c>
      <c r="H6" s="5">
        <f>SUMIFS('Customer Data'!$K$2:$K$51,'Customer Data'!$H$2:$H$51,"Monthly",'Customer Data'!$T$2:$T$51,"&lt;="&amp;H$3,'Customer Data'!$X$2:$X$51,"&gt;"&amp;H$3)</f>
        <v>7071</v>
      </c>
      <c r="I6" s="5">
        <f>SUMIFS('Customer Data'!$K$2:$K$51,'Customer Data'!$H$2:$H$51,"Monthly",'Customer Data'!$T$2:$T$51,"&lt;="&amp;I$3,'Customer Data'!$X$2:$X$51,"&gt;"&amp;I$3)</f>
        <v>8066</v>
      </c>
      <c r="J6" s="5">
        <f>SUMIFS('Customer Data'!$K$2:$K$51,'Customer Data'!$H$2:$H$51,"Monthly",'Customer Data'!$T$2:$T$51,"&lt;="&amp;J$3,'Customer Data'!$X$2:$X$51,"&gt;"&amp;J$3)</f>
        <v>8066</v>
      </c>
      <c r="K6" s="5">
        <f>SUMIFS('Customer Data'!$K$2:$K$51,'Customer Data'!$H$2:$H$51,"Monthly",'Customer Data'!$T$2:$T$51,"&lt;="&amp;K$3,'Customer Data'!$X$2:$X$51,"&gt;"&amp;K$3)</f>
        <v>7867</v>
      </c>
      <c r="L6" s="5">
        <f>SUMIFS('Customer Data'!$K$2:$K$51,'Customer Data'!$H$2:$H$51,"Monthly",'Customer Data'!$T$2:$T$51,"&lt;="&amp;L$3,'Customer Data'!$X$2:$X$51,"&gt;"&amp;L$3)</f>
        <v>7867</v>
      </c>
      <c r="M6" s="5">
        <f>SUMIFS('Customer Data'!$K$2:$K$51,'Customer Data'!$H$2:$H$51,"Monthly",'Customer Data'!$T$2:$T$51,"&lt;="&amp;M$3,'Customer Data'!$X$2:$X$51,"&gt;"&amp;M$3)</f>
        <v>7668</v>
      </c>
      <c r="N6" s="5">
        <f>SUMIFS('Customer Data'!$K$2:$K$51,'Customer Data'!$H$2:$H$51,"Monthly",'Customer Data'!$T$2:$T$51,"&lt;="&amp;N$3,'Customer Data'!$X$2:$X$51,"&gt;"&amp;N$3)</f>
        <v>7469</v>
      </c>
      <c r="O6" s="5">
        <f>SUMIFS('Customer Data'!$K$2:$K$51,'Customer Data'!$H$2:$H$51,"Monthly",'Customer Data'!$T$2:$T$51,"&lt;="&amp;O$3,'Customer Data'!$X$2:$X$51,"&gt;"&amp;O$3)</f>
        <v>7469</v>
      </c>
      <c r="P6" s="5">
        <f>SUMIFS('Customer Data'!$K$2:$K$51,'Customer Data'!$H$2:$H$51,"Monthly",'Customer Data'!$T$2:$T$51,"&lt;="&amp;P$3,'Customer Data'!$X$2:$X$51,"&gt;"&amp;P$3)</f>
        <v>7469</v>
      </c>
      <c r="Q6" s="5">
        <f>SUMIFS('Customer Data'!$K$2:$K$51,'Customer Data'!$H$2:$H$51,"Monthly",'Customer Data'!$T$2:$T$51,"&lt;="&amp;Q$3,'Customer Data'!$X$2:$X$51,"&gt;"&amp;Q$3)</f>
        <v>7469</v>
      </c>
      <c r="R6" s="5">
        <f>SUMIFS('Customer Data'!$K$2:$K$51,'Customer Data'!$H$2:$H$51,"Monthly",'Customer Data'!$T$2:$T$51,"&lt;="&amp;R$3,'Customer Data'!$X$2:$X$51,"&gt;"&amp;R$3)</f>
        <v>7469</v>
      </c>
      <c r="S6" s="5">
        <f>SUMIFS('Customer Data'!$K$2:$K$51,'Customer Data'!$H$2:$H$51,"Monthly",'Customer Data'!$T$2:$T$51,"&lt;="&amp;S$3,'Customer Data'!$X$2:$X$51,"&gt;"&amp;S$3)</f>
        <v>7469</v>
      </c>
      <c r="T6" s="5">
        <f>SUMIFS('Customer Data'!$K$2:$K$51,'Customer Data'!$H$2:$H$51,"Monthly",'Customer Data'!$T$2:$T$51,"&lt;="&amp;T$3,'Customer Data'!$X$2:$X$51,"&gt;"&amp;T$3)</f>
        <v>7469</v>
      </c>
      <c r="U6" s="5">
        <f>SUMIFS('Customer Data'!$K$2:$K$51,'Customer Data'!$H$2:$H$51,"Monthly",'Customer Data'!$T$2:$T$51,"&lt;="&amp;U$3,'Customer Data'!$X$2:$X$51,"&gt;"&amp;U$3)</f>
        <v>7469</v>
      </c>
      <c r="V6" s="5">
        <f>SUMIFS('Customer Data'!$K$2:$K$51,'Customer Data'!$H$2:$H$51,"Monthly",'Customer Data'!$T$2:$T$51,"&lt;="&amp;V$3,'Customer Data'!$X$2:$X$51,"&gt;"&amp;V$3)</f>
        <v>7469</v>
      </c>
      <c r="W6" s="5">
        <f>SUMIFS('Customer Data'!$K$2:$K$51,'Customer Data'!$H$2:$H$51,"Monthly",'Customer Data'!$T$2:$T$51,"&lt;="&amp;W$3,'Customer Data'!$X$2:$X$51,"&gt;"&amp;W$3)</f>
        <v>7469</v>
      </c>
      <c r="X6" s="5">
        <f>SUMIFS('Customer Data'!$K$2:$K$51,'Customer Data'!$H$2:$H$51,"Monthly",'Customer Data'!$T$2:$T$51,"&lt;="&amp;X$3,'Customer Data'!$X$2:$X$51,"&gt;"&amp;X$3)</f>
        <v>7469</v>
      </c>
      <c r="Y6" s="5">
        <f>SUMIFS('Customer Data'!$K$2:$K$51,'Customer Data'!$H$2:$H$51,"Monthly",'Customer Data'!$T$2:$T$51,"&lt;="&amp;Y$3,'Customer Data'!$X$2:$X$51,"&gt;"&amp;Y$3)</f>
        <v>7469</v>
      </c>
    </row>
    <row r="7" spans="1:25" x14ac:dyDescent="0.35">
      <c r="A7" s="3" t="s">
        <v>207</v>
      </c>
      <c r="B7" s="5">
        <f>SUMIFS('Customer Data'!$L$2:$L$51,'Customer Data'!$U$2:$U$51,"&gt;0",'Customer Data'!$U$2:$U$51,"&lt;="&amp;B$3,'Customer Data'!$X$2:$X$51,"&gt;"&amp;B$3)</f>
        <v>59</v>
      </c>
      <c r="C7" s="5">
        <f>SUMIFS('Customer Data'!$L$2:$L$51,'Customer Data'!$U$2:$U$51,"&gt;0",'Customer Data'!$U$2:$U$51,"&lt;="&amp;C$3,'Customer Data'!$X$2:$X$51,"&gt;"&amp;C$3)</f>
        <v>167</v>
      </c>
      <c r="D7" s="5">
        <f>SUMIFS('Customer Data'!$L$2:$L$51,'Customer Data'!$U$2:$U$51,"&gt;0",'Customer Data'!$U$2:$U$51,"&lt;="&amp;D$3,'Customer Data'!$X$2:$X$51,"&gt;"&amp;D$3)</f>
        <v>781</v>
      </c>
      <c r="E7" s="5">
        <f>SUMIFS('Customer Data'!$L$2:$L$51,'Customer Data'!$U$2:$U$51,"&gt;0",'Customer Data'!$U$2:$U$51,"&lt;="&amp;E$3,'Customer Data'!$X$2:$X$51,"&gt;"&amp;E$3)</f>
        <v>1419</v>
      </c>
      <c r="F7" s="5">
        <f>SUMIFS('Customer Data'!$L$2:$L$51,'Customer Data'!$U$2:$U$51,"&gt;0",'Customer Data'!$U$2:$U$51,"&lt;="&amp;F$3,'Customer Data'!$X$2:$X$51,"&gt;"&amp;F$3)</f>
        <v>1915</v>
      </c>
      <c r="G7" s="5">
        <f>SUMIFS('Customer Data'!$L$2:$L$51,'Customer Data'!$U$2:$U$51,"&gt;0",'Customer Data'!$U$2:$U$51,"&lt;="&amp;G$3,'Customer Data'!$X$2:$X$51,"&gt;"&amp;G$3)</f>
        <v>2219</v>
      </c>
      <c r="H7" s="5">
        <f>SUMIFS('Customer Data'!$L$2:$L$51,'Customer Data'!$U$2:$U$51,"&gt;0",'Customer Data'!$U$2:$U$51,"&lt;="&amp;H$3,'Customer Data'!$X$2:$X$51,"&gt;"&amp;H$3)</f>
        <v>2820</v>
      </c>
      <c r="I7" s="5">
        <f>SUMIFS('Customer Data'!$L$2:$L$51,'Customer Data'!$U$2:$U$51,"&gt;0",'Customer Data'!$U$2:$U$51,"&lt;="&amp;I$3,'Customer Data'!$X$2:$X$51,"&gt;"&amp;I$3)</f>
        <v>3298</v>
      </c>
      <c r="J7" s="5">
        <f>SUMIFS('Customer Data'!$L$2:$L$51,'Customer Data'!$U$2:$U$51,"&gt;0",'Customer Data'!$U$2:$U$51,"&lt;="&amp;J$3,'Customer Data'!$X$2:$X$51,"&gt;"&amp;J$3)</f>
        <v>3951</v>
      </c>
      <c r="K7" s="5">
        <f>SUMIFS('Customer Data'!$L$2:$L$51,'Customer Data'!$U$2:$U$51,"&gt;0",'Customer Data'!$U$2:$U$51,"&lt;="&amp;K$3,'Customer Data'!$X$2:$X$51,"&gt;"&amp;K$3)</f>
        <v>4035</v>
      </c>
      <c r="L7" s="5">
        <f>SUMIFS('Customer Data'!$L$2:$L$51,'Customer Data'!$U$2:$U$51,"&gt;0",'Customer Data'!$U$2:$U$51,"&lt;="&amp;L$3,'Customer Data'!$X$2:$X$51,"&gt;"&amp;L$3)</f>
        <v>4131</v>
      </c>
      <c r="M7" s="5">
        <f>SUMIFS('Customer Data'!$L$2:$L$51,'Customer Data'!$U$2:$U$51,"&gt;0",'Customer Data'!$U$2:$U$51,"&lt;="&amp;M$3,'Customer Data'!$X$2:$X$51,"&gt;"&amp;M$3)</f>
        <v>4096</v>
      </c>
      <c r="N7" s="5">
        <f>SUMIFS('Customer Data'!$L$2:$L$51,'Customer Data'!$U$2:$U$51,"&gt;0",'Customer Data'!$U$2:$U$51,"&lt;="&amp;N$3,'Customer Data'!$X$2:$X$51,"&gt;"&amp;N$3)</f>
        <v>4006</v>
      </c>
      <c r="O7" s="5">
        <f>SUMIFS('Customer Data'!$L$2:$L$51,'Customer Data'!$U$2:$U$51,"&gt;0",'Customer Data'!$U$2:$U$51,"&lt;="&amp;O$3,'Customer Data'!$X$2:$X$51,"&gt;"&amp;O$3)</f>
        <v>3537</v>
      </c>
      <c r="P7" s="5">
        <f>SUMIFS('Customer Data'!$L$2:$L$51,'Customer Data'!$U$2:$U$51,"&gt;0",'Customer Data'!$U$2:$U$51,"&lt;="&amp;P$3,'Customer Data'!$X$2:$X$51,"&gt;"&amp;P$3)</f>
        <v>3414</v>
      </c>
      <c r="Q7" s="5">
        <f>SUMIFS('Customer Data'!$L$2:$L$51,'Customer Data'!$U$2:$U$51,"&gt;0",'Customer Data'!$U$2:$U$51,"&lt;="&amp;Q$3,'Customer Data'!$X$2:$X$51,"&gt;"&amp;Q$3)</f>
        <v>3277</v>
      </c>
      <c r="R7" s="5">
        <f>SUMIFS('Customer Data'!$L$2:$L$51,'Customer Data'!$U$2:$U$51,"&gt;0",'Customer Data'!$U$2:$U$51,"&lt;="&amp;R$3,'Customer Data'!$X$2:$X$51,"&gt;"&amp;R$3)</f>
        <v>3221</v>
      </c>
      <c r="S7" s="5">
        <f>SUMIFS('Customer Data'!$L$2:$L$51,'Customer Data'!$U$2:$U$51,"&gt;0",'Customer Data'!$U$2:$U$51,"&lt;="&amp;S$3,'Customer Data'!$X$2:$X$51,"&gt;"&amp;S$3)</f>
        <v>3161</v>
      </c>
      <c r="T7" s="5">
        <f>SUMIFS('Customer Data'!$L$2:$L$51,'Customer Data'!$U$2:$U$51,"&gt;0",'Customer Data'!$U$2:$U$51,"&lt;="&amp;T$3,'Customer Data'!$X$2:$X$51,"&gt;"&amp;T$3)</f>
        <v>3011</v>
      </c>
      <c r="U7" s="5">
        <f>SUMIFS('Customer Data'!$L$2:$L$51,'Customer Data'!$U$2:$U$51,"&gt;0",'Customer Data'!$U$2:$U$51,"&lt;="&amp;U$3,'Customer Data'!$X$2:$X$51,"&gt;"&amp;U$3)</f>
        <v>2803</v>
      </c>
      <c r="V7" s="5">
        <f>SUMIFS('Customer Data'!$L$2:$L$51,'Customer Data'!$U$2:$U$51,"&gt;0",'Customer Data'!$U$2:$U$51,"&lt;="&amp;V$3,'Customer Data'!$X$2:$X$51,"&gt;"&amp;V$3)</f>
        <v>2803</v>
      </c>
      <c r="W7" s="5">
        <f>SUMIFS('Customer Data'!$L$2:$L$51,'Customer Data'!$U$2:$U$51,"&gt;0",'Customer Data'!$U$2:$U$51,"&lt;="&amp;W$3,'Customer Data'!$X$2:$X$51,"&gt;"&amp;W$3)</f>
        <v>2803</v>
      </c>
      <c r="X7" s="5">
        <f>SUMIFS('Customer Data'!$L$2:$L$51,'Customer Data'!$U$2:$U$51,"&gt;0",'Customer Data'!$U$2:$U$51,"&lt;="&amp;X$3,'Customer Data'!$X$2:$X$51,"&gt;"&amp;X$3)</f>
        <v>2803</v>
      </c>
      <c r="Y7" s="5">
        <f>SUMIFS('Customer Data'!$L$2:$L$51,'Customer Data'!$U$2:$U$51,"&gt;0",'Customer Data'!$U$2:$U$51,"&lt;="&amp;Y$3,'Customer Data'!$X$2:$X$51,"&gt;"&amp;Y$3)</f>
        <v>2803</v>
      </c>
    </row>
    <row r="8" spans="1:25" x14ac:dyDescent="0.35">
      <c r="A8" s="3" t="s">
        <v>208</v>
      </c>
      <c r="B8" s="5">
        <f>SUM(B5:B7)</f>
        <v>20927</v>
      </c>
      <c r="C8" s="5">
        <f>SUM(C5:C7)</f>
        <v>28021</v>
      </c>
      <c r="D8" s="5">
        <f>SUM(D5:D7)</f>
        <v>10853</v>
      </c>
      <c r="E8" s="5">
        <f>SUM(E5:E7)</f>
        <v>17085</v>
      </c>
      <c r="F8" s="5">
        <f>SUM(F5:F7)</f>
        <v>18079</v>
      </c>
      <c r="G8" s="5">
        <f>SUM(G5:G7)</f>
        <v>18880</v>
      </c>
      <c r="H8" s="5">
        <f>SUM(H5:H7)</f>
        <v>15879</v>
      </c>
      <c r="I8" s="5">
        <f>SUM(I5:I7)</f>
        <v>23340</v>
      </c>
      <c r="J8" s="5">
        <f>SUM(J5:J7)</f>
        <v>12017</v>
      </c>
      <c r="K8" s="5">
        <f>SUM(K5:K7)</f>
        <v>11902</v>
      </c>
      <c r="L8" s="5">
        <f>SUM(L5:L7)</f>
        <v>11998</v>
      </c>
      <c r="M8" s="5">
        <f>SUM(M5:M7)</f>
        <v>11764</v>
      </c>
      <c r="N8" s="5">
        <f>SUM(N5:N7)</f>
        <v>11475</v>
      </c>
      <c r="O8" s="5">
        <f>SUM(O5:O7)</f>
        <v>11006</v>
      </c>
      <c r="P8" s="5">
        <f>SUM(P5:P7)</f>
        <v>10883</v>
      </c>
      <c r="Q8" s="5">
        <f>SUM(Q5:Q7)</f>
        <v>10746</v>
      </c>
      <c r="R8" s="5">
        <f>SUM(R5:R7)</f>
        <v>10690</v>
      </c>
      <c r="S8" s="5">
        <f>SUM(S5:S7)</f>
        <v>10630</v>
      </c>
      <c r="T8" s="5">
        <f>SUM(T5:T7)</f>
        <v>10480</v>
      </c>
      <c r="U8" s="5">
        <f>SUM(U5:U7)</f>
        <v>10272</v>
      </c>
      <c r="V8" s="5">
        <f>SUM(V5:V7)</f>
        <v>10272</v>
      </c>
      <c r="W8" s="5">
        <f>SUM(W5:W7)</f>
        <v>10272</v>
      </c>
      <c r="X8" s="5">
        <f>SUM(X5:X7)</f>
        <v>10272</v>
      </c>
      <c r="Y8" s="5">
        <f>SUM(Y5:Y7)</f>
        <v>10272</v>
      </c>
    </row>
    <row r="9" spans="1:25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x14ac:dyDescent="0.35">
      <c r="A10" s="3" t="s">
        <v>209</v>
      </c>
      <c r="B10" s="5">
        <f t="shared" ref="B10:Y10" si="0">B6</f>
        <v>1692</v>
      </c>
      <c r="C10" s="5">
        <f t="shared" si="0"/>
        <v>2690</v>
      </c>
      <c r="D10" s="5">
        <f t="shared" si="0"/>
        <v>4084</v>
      </c>
      <c r="E10" s="5">
        <f t="shared" si="0"/>
        <v>6078</v>
      </c>
      <c r="F10" s="5">
        <f t="shared" si="0"/>
        <v>6576</v>
      </c>
      <c r="G10" s="5">
        <f t="shared" si="0"/>
        <v>7073</v>
      </c>
      <c r="H10" s="5">
        <f t="shared" si="0"/>
        <v>7071</v>
      </c>
      <c r="I10" s="5">
        <f t="shared" si="0"/>
        <v>8066</v>
      </c>
      <c r="J10" s="5">
        <f t="shared" si="0"/>
        <v>8066</v>
      </c>
      <c r="K10" s="5">
        <f t="shared" si="0"/>
        <v>7867</v>
      </c>
      <c r="L10" s="5">
        <f t="shared" si="0"/>
        <v>7867</v>
      </c>
      <c r="M10" s="5">
        <f t="shared" si="0"/>
        <v>7668</v>
      </c>
      <c r="N10" s="5">
        <f t="shared" si="0"/>
        <v>7469</v>
      </c>
      <c r="O10" s="5">
        <f t="shared" si="0"/>
        <v>7469</v>
      </c>
      <c r="P10" s="5">
        <f t="shared" si="0"/>
        <v>7469</v>
      </c>
      <c r="Q10" s="5">
        <f t="shared" si="0"/>
        <v>7469</v>
      </c>
      <c r="R10" s="5">
        <f t="shared" si="0"/>
        <v>7469</v>
      </c>
      <c r="S10" s="5">
        <f t="shared" si="0"/>
        <v>7469</v>
      </c>
      <c r="T10" s="5">
        <f t="shared" si="0"/>
        <v>7469</v>
      </c>
      <c r="U10" s="5">
        <f t="shared" si="0"/>
        <v>7469</v>
      </c>
      <c r="V10" s="5">
        <f t="shared" si="0"/>
        <v>7469</v>
      </c>
      <c r="W10" s="5">
        <f t="shared" si="0"/>
        <v>7469</v>
      </c>
      <c r="X10" s="5">
        <f t="shared" si="0"/>
        <v>7469</v>
      </c>
      <c r="Y10" s="5">
        <f t="shared" si="0"/>
        <v>7469</v>
      </c>
    </row>
    <row r="11" spans="1:25" x14ac:dyDescent="0.35">
      <c r="A11" s="3" t="s">
        <v>210</v>
      </c>
      <c r="B11" s="5">
        <f>SUMIFS('Customer Data'!$K$2:$K$51,'Customer Data'!$H$2:$H$51,"Annual",'Customer Data'!$T$2:$T$51,"&lt;="&amp;B$3,'Customer Data'!$X$2:$X$51,"&gt;"&amp;B$3)</f>
        <v>1598</v>
      </c>
      <c r="C11" s="5">
        <f>SUMIFS('Customer Data'!$K$2:$K$51,'Customer Data'!$H$2:$H$51,"Annual",'Customer Data'!$T$2:$T$51,"&lt;="&amp;C$3,'Customer Data'!$X$2:$X$51,"&gt;"&amp;C$3)</f>
        <v>3695</v>
      </c>
      <c r="D11" s="5">
        <f>SUMIFS('Customer Data'!$K$2:$K$51,'Customer Data'!$H$2:$H$51,"Annual",'Customer Data'!$T$2:$T$51,"&lt;="&amp;D$3,'Customer Data'!$X$2:$X$51,"&gt;"&amp;D$3)</f>
        <v>4194</v>
      </c>
      <c r="E11" s="5">
        <f>SUMIFS('Customer Data'!$K$2:$K$51,'Customer Data'!$H$2:$H$51,"Annual",'Customer Data'!$T$2:$T$51,"&lt;="&amp;E$3,'Customer Data'!$X$2:$X$51,"&gt;"&amp;E$3)</f>
        <v>4993</v>
      </c>
      <c r="F11" s="5">
        <f>SUMIFS('Customer Data'!$K$2:$K$51,'Customer Data'!$H$2:$H$51,"Annual",'Customer Data'!$T$2:$T$51,"&lt;="&amp;F$3,'Customer Data'!$X$2:$X$51,"&gt;"&amp;F$3)</f>
        <v>5792</v>
      </c>
      <c r="G11" s="5">
        <f>SUMIFS('Customer Data'!$K$2:$K$51,'Customer Data'!$H$2:$H$51,"Annual",'Customer Data'!$T$2:$T$51,"&lt;="&amp;G$3,'Customer Data'!$X$2:$X$51,"&gt;"&amp;G$3)</f>
        <v>6591</v>
      </c>
      <c r="H11" s="5">
        <f>SUMIFS('Customer Data'!$K$2:$K$51,'Customer Data'!$H$2:$H$51,"Annual",'Customer Data'!$T$2:$T$51,"&lt;="&amp;H$3,'Customer Data'!$X$2:$X$51,"&gt;"&amp;H$3)</f>
        <v>7090</v>
      </c>
      <c r="I11" s="5">
        <f>SUMIFS('Customer Data'!$K$2:$K$51,'Customer Data'!$H$2:$H$51,"Annual",'Customer Data'!$T$2:$T$51,"&lt;="&amp;I$3,'Customer Data'!$X$2:$X$51,"&gt;"&amp;I$3)</f>
        <v>8088</v>
      </c>
      <c r="J11" s="5">
        <f>SUMIFS('Customer Data'!$K$2:$K$51,'Customer Data'!$H$2:$H$51,"Annual",'Customer Data'!$T$2:$T$51,"&lt;="&amp;J$3,'Customer Data'!$X$2:$X$51,"&gt;"&amp;J$3)</f>
        <v>8088</v>
      </c>
      <c r="K11" s="5">
        <f>SUMIFS('Customer Data'!$K$2:$K$51,'Customer Data'!$H$2:$H$51,"Annual",'Customer Data'!$T$2:$T$51,"&lt;="&amp;K$3,'Customer Data'!$X$2:$X$51,"&gt;"&amp;K$3)</f>
        <v>8088</v>
      </c>
      <c r="L11" s="5">
        <f>SUMIFS('Customer Data'!$K$2:$K$51,'Customer Data'!$H$2:$H$51,"Annual",'Customer Data'!$T$2:$T$51,"&lt;="&amp;L$3,'Customer Data'!$X$2:$X$51,"&gt;"&amp;L$3)</f>
        <v>8088</v>
      </c>
      <c r="M11" s="5">
        <f>SUMIFS('Customer Data'!$K$2:$K$51,'Customer Data'!$H$2:$H$51,"Annual",'Customer Data'!$T$2:$T$51,"&lt;="&amp;M$3,'Customer Data'!$X$2:$X$51,"&gt;"&amp;M$3)</f>
        <v>8088</v>
      </c>
      <c r="N11" s="5">
        <f>SUMIFS('Customer Data'!$K$2:$K$51,'Customer Data'!$H$2:$H$51,"Annual",'Customer Data'!$T$2:$T$51,"&lt;="&amp;N$3,'Customer Data'!$X$2:$X$51,"&gt;"&amp;N$3)</f>
        <v>6490</v>
      </c>
      <c r="O11" s="5">
        <f>SUMIFS('Customer Data'!$K$2:$K$51,'Customer Data'!$H$2:$H$51,"Annual",'Customer Data'!$T$2:$T$51,"&lt;="&amp;O$3,'Customer Data'!$X$2:$X$51,"&gt;"&amp;O$3)</f>
        <v>4393</v>
      </c>
      <c r="P11" s="5">
        <f>SUMIFS('Customer Data'!$K$2:$K$51,'Customer Data'!$H$2:$H$51,"Annual",'Customer Data'!$T$2:$T$51,"&lt;="&amp;P$3,'Customer Data'!$X$2:$X$51,"&gt;"&amp;P$3)</f>
        <v>3894</v>
      </c>
      <c r="Q11" s="5">
        <f>SUMIFS('Customer Data'!$K$2:$K$51,'Customer Data'!$H$2:$H$51,"Annual",'Customer Data'!$T$2:$T$51,"&lt;="&amp;Q$3,'Customer Data'!$X$2:$X$51,"&gt;"&amp;Q$3)</f>
        <v>3095</v>
      </c>
      <c r="R11" s="5">
        <f>SUMIFS('Customer Data'!$K$2:$K$51,'Customer Data'!$H$2:$H$51,"Annual",'Customer Data'!$T$2:$T$51,"&lt;="&amp;R$3,'Customer Data'!$X$2:$X$51,"&gt;"&amp;R$3)</f>
        <v>2296</v>
      </c>
      <c r="S11" s="5">
        <f>SUMIFS('Customer Data'!$K$2:$K$51,'Customer Data'!$H$2:$H$51,"Annual",'Customer Data'!$T$2:$T$51,"&lt;="&amp;S$3,'Customer Data'!$X$2:$X$51,"&gt;"&amp;S$3)</f>
        <v>1497</v>
      </c>
      <c r="T11" s="5">
        <f>SUMIFS('Customer Data'!$K$2:$K$51,'Customer Data'!$H$2:$H$51,"Annual",'Customer Data'!$T$2:$T$51,"&lt;="&amp;T$3,'Customer Data'!$X$2:$X$51,"&gt;"&amp;T$3)</f>
        <v>998</v>
      </c>
      <c r="U11" s="5">
        <f>SUMIFS('Customer Data'!$K$2:$K$51,'Customer Data'!$H$2:$H$51,"Annual",'Customer Data'!$T$2:$T$51,"&lt;="&amp;U$3,'Customer Data'!$X$2:$X$51,"&gt;"&amp;U$3)</f>
        <v>0</v>
      </c>
      <c r="V11" s="5">
        <f>SUMIFS('Customer Data'!$K$2:$K$51,'Customer Data'!$H$2:$H$51,"Annual",'Customer Data'!$T$2:$T$51,"&lt;="&amp;V$3,'Customer Data'!$X$2:$X$51,"&gt;"&amp;V$3)</f>
        <v>0</v>
      </c>
      <c r="W11" s="5">
        <f>SUMIFS('Customer Data'!$K$2:$K$51,'Customer Data'!$H$2:$H$51,"Annual",'Customer Data'!$T$2:$T$51,"&lt;="&amp;W$3,'Customer Data'!$X$2:$X$51,"&gt;"&amp;W$3)</f>
        <v>0</v>
      </c>
      <c r="X11" s="5">
        <f>SUMIFS('Customer Data'!$K$2:$K$51,'Customer Data'!$H$2:$H$51,"Annual",'Customer Data'!$T$2:$T$51,"&lt;="&amp;X$3,'Customer Data'!$X$2:$X$51,"&gt;"&amp;X$3)</f>
        <v>0</v>
      </c>
      <c r="Y11" s="5">
        <f>SUMIFS('Customer Data'!$K$2:$K$51,'Customer Data'!$H$2:$H$51,"Annual",'Customer Data'!$T$2:$T$51,"&lt;="&amp;Y$3,'Customer Data'!$X$2:$X$51,"&gt;"&amp;Y$3)</f>
        <v>0</v>
      </c>
    </row>
    <row r="12" spans="1:25" x14ac:dyDescent="0.35">
      <c r="A12" s="3" t="s">
        <v>211</v>
      </c>
      <c r="B12" s="5">
        <f t="shared" ref="B12:Y12" si="1">B7</f>
        <v>59</v>
      </c>
      <c r="C12" s="5">
        <f t="shared" si="1"/>
        <v>167</v>
      </c>
      <c r="D12" s="5">
        <f t="shared" si="1"/>
        <v>781</v>
      </c>
      <c r="E12" s="5">
        <f t="shared" si="1"/>
        <v>1419</v>
      </c>
      <c r="F12" s="5">
        <f t="shared" si="1"/>
        <v>1915</v>
      </c>
      <c r="G12" s="5">
        <f t="shared" si="1"/>
        <v>2219</v>
      </c>
      <c r="H12" s="5">
        <f t="shared" si="1"/>
        <v>2820</v>
      </c>
      <c r="I12" s="5">
        <f t="shared" si="1"/>
        <v>3298</v>
      </c>
      <c r="J12" s="5">
        <f t="shared" si="1"/>
        <v>3951</v>
      </c>
      <c r="K12" s="5">
        <f t="shared" si="1"/>
        <v>4035</v>
      </c>
      <c r="L12" s="5">
        <f t="shared" si="1"/>
        <v>4131</v>
      </c>
      <c r="M12" s="5">
        <f t="shared" si="1"/>
        <v>4096</v>
      </c>
      <c r="N12" s="5">
        <f t="shared" si="1"/>
        <v>4006</v>
      </c>
      <c r="O12" s="5">
        <f t="shared" si="1"/>
        <v>3537</v>
      </c>
      <c r="P12" s="5">
        <f t="shared" si="1"/>
        <v>3414</v>
      </c>
      <c r="Q12" s="5">
        <f t="shared" si="1"/>
        <v>3277</v>
      </c>
      <c r="R12" s="5">
        <f t="shared" si="1"/>
        <v>3221</v>
      </c>
      <c r="S12" s="5">
        <f t="shared" si="1"/>
        <v>3161</v>
      </c>
      <c r="T12" s="5">
        <f t="shared" si="1"/>
        <v>3011</v>
      </c>
      <c r="U12" s="5">
        <f t="shared" si="1"/>
        <v>2803</v>
      </c>
      <c r="V12" s="5">
        <f t="shared" si="1"/>
        <v>2803</v>
      </c>
      <c r="W12" s="5">
        <f t="shared" si="1"/>
        <v>2803</v>
      </c>
      <c r="X12" s="5">
        <f t="shared" si="1"/>
        <v>2803</v>
      </c>
      <c r="Y12" s="5">
        <f t="shared" si="1"/>
        <v>2803</v>
      </c>
    </row>
    <row r="13" spans="1:25" x14ac:dyDescent="0.35">
      <c r="A13" s="3" t="s">
        <v>212</v>
      </c>
      <c r="B13" s="5">
        <f>SUM(B10:B12)</f>
        <v>3349</v>
      </c>
      <c r="C13" s="5">
        <f>SUM(C10:C12)</f>
        <v>6552</v>
      </c>
      <c r="D13" s="5">
        <f>SUM(D10:D12)</f>
        <v>9059</v>
      </c>
      <c r="E13" s="5">
        <f>SUM(E10:E12)</f>
        <v>12490</v>
      </c>
      <c r="F13" s="5">
        <f>SUM(F10:F12)</f>
        <v>14283</v>
      </c>
      <c r="G13" s="5">
        <f>SUM(G10:G12)</f>
        <v>15883</v>
      </c>
      <c r="H13" s="5">
        <f>SUM(H10:H12)</f>
        <v>16981</v>
      </c>
      <c r="I13" s="5">
        <f>SUM(I10:I12)</f>
        <v>19452</v>
      </c>
      <c r="J13" s="5">
        <f>SUM(J10:J12)</f>
        <v>20105</v>
      </c>
      <c r="K13" s="5">
        <f>SUM(K10:K12)</f>
        <v>19990</v>
      </c>
      <c r="L13" s="5">
        <f>SUM(L10:L12)</f>
        <v>20086</v>
      </c>
      <c r="M13" s="5">
        <f>SUM(M10:M12)</f>
        <v>19852</v>
      </c>
      <c r="N13" s="5">
        <f>SUM(N10:N12)</f>
        <v>17965</v>
      </c>
      <c r="O13" s="5">
        <f>SUM(O10:O12)</f>
        <v>15399</v>
      </c>
      <c r="P13" s="5">
        <f>SUM(P10:P12)</f>
        <v>14777</v>
      </c>
      <c r="Q13" s="5">
        <f>SUM(Q10:Q12)</f>
        <v>13841</v>
      </c>
      <c r="R13" s="5">
        <f>SUM(R10:R12)</f>
        <v>12986</v>
      </c>
      <c r="S13" s="5">
        <f>SUM(S10:S12)</f>
        <v>12127</v>
      </c>
      <c r="T13" s="5">
        <f>SUM(T10:T12)</f>
        <v>11478</v>
      </c>
      <c r="U13" s="5">
        <f>SUM(U10:U12)</f>
        <v>10272</v>
      </c>
      <c r="V13" s="5">
        <f>SUM(V10:V12)</f>
        <v>10272</v>
      </c>
      <c r="W13" s="5">
        <f>SUM(W10:W12)</f>
        <v>10272</v>
      </c>
      <c r="X13" s="5">
        <f>SUM(X10:X12)</f>
        <v>10272</v>
      </c>
      <c r="Y13" s="5">
        <f>SUM(Y10:Y12)</f>
        <v>10272</v>
      </c>
    </row>
    <row r="14" spans="1:25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x14ac:dyDescent="0.35">
      <c r="A15" s="3" t="s">
        <v>213</v>
      </c>
      <c r="B15" s="5">
        <f>B8-B13</f>
        <v>17578</v>
      </c>
      <c r="C15" s="5">
        <f t="shared" ref="C15:Y15" si="2">B15+C8-C13</f>
        <v>39047</v>
      </c>
      <c r="D15" s="5">
        <f t="shared" si="2"/>
        <v>40841</v>
      </c>
      <c r="E15" s="5">
        <f t="shared" si="2"/>
        <v>45436</v>
      </c>
      <c r="F15" s="5">
        <f t="shared" si="2"/>
        <v>49232</v>
      </c>
      <c r="G15" s="5">
        <f t="shared" si="2"/>
        <v>52229</v>
      </c>
      <c r="H15" s="5">
        <f t="shared" si="2"/>
        <v>51127</v>
      </c>
      <c r="I15" s="5">
        <f t="shared" si="2"/>
        <v>55015</v>
      </c>
      <c r="J15" s="5">
        <f t="shared" si="2"/>
        <v>46927</v>
      </c>
      <c r="K15" s="5">
        <f t="shared" si="2"/>
        <v>38839</v>
      </c>
      <c r="L15" s="5">
        <f t="shared" si="2"/>
        <v>30751</v>
      </c>
      <c r="M15" s="5">
        <f t="shared" si="2"/>
        <v>22663</v>
      </c>
      <c r="N15" s="5">
        <f t="shared" si="2"/>
        <v>16173</v>
      </c>
      <c r="O15" s="5">
        <f t="shared" si="2"/>
        <v>11780</v>
      </c>
      <c r="P15" s="5">
        <f t="shared" si="2"/>
        <v>7886</v>
      </c>
      <c r="Q15" s="5">
        <f t="shared" si="2"/>
        <v>4791</v>
      </c>
      <c r="R15" s="5">
        <f t="shared" si="2"/>
        <v>2495</v>
      </c>
      <c r="S15" s="5">
        <f t="shared" si="2"/>
        <v>998</v>
      </c>
      <c r="T15" s="5">
        <f t="shared" si="2"/>
        <v>0</v>
      </c>
      <c r="U15" s="5">
        <f t="shared" si="2"/>
        <v>0</v>
      </c>
      <c r="V15" s="5">
        <f t="shared" si="2"/>
        <v>0</v>
      </c>
      <c r="W15" s="5">
        <f t="shared" si="2"/>
        <v>0</v>
      </c>
      <c r="X15" s="5">
        <f t="shared" si="2"/>
        <v>0</v>
      </c>
      <c r="Y15" s="5">
        <f t="shared" si="2"/>
        <v>0</v>
      </c>
    </row>
  </sheetData>
  <mergeCells count="2">
    <mergeCell ref="A1:Y1"/>
    <mergeCell ref="B2:Y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2"/>
  <sheetViews>
    <sheetView showGridLines="0" workbookViewId="0">
      <selection sqref="A1:H1"/>
    </sheetView>
  </sheetViews>
  <sheetFormatPr defaultRowHeight="14.5" x14ac:dyDescent="0.35"/>
  <cols>
    <col min="1" max="1" width="15" customWidth="1"/>
    <col min="2" max="2" width="12" customWidth="1"/>
    <col min="3" max="3" width="15" customWidth="1"/>
    <col min="4" max="4" width="19.90625" bestFit="1" customWidth="1"/>
    <col min="6" max="8" width="2" customWidth="1"/>
  </cols>
  <sheetData>
    <row r="1" spans="1:8" ht="18.5" x14ac:dyDescent="0.45">
      <c r="A1" s="36" t="s">
        <v>214</v>
      </c>
      <c r="B1" s="37"/>
      <c r="C1" s="37"/>
      <c r="D1" s="37"/>
      <c r="E1" s="37"/>
      <c r="F1" s="37"/>
      <c r="G1" s="37"/>
      <c r="H1" s="37"/>
    </row>
    <row r="3" spans="1:8" ht="20" customHeight="1" x14ac:dyDescent="0.35">
      <c r="A3" s="39" t="s">
        <v>215</v>
      </c>
      <c r="B3" s="40"/>
      <c r="C3" s="40"/>
      <c r="D3" s="40"/>
    </row>
    <row r="4" spans="1:8" x14ac:dyDescent="0.35">
      <c r="A4" s="26" t="s">
        <v>32</v>
      </c>
      <c r="B4" s="26" t="s">
        <v>194</v>
      </c>
      <c r="C4" s="26" t="s">
        <v>4</v>
      </c>
      <c r="D4" s="26" t="s">
        <v>216</v>
      </c>
    </row>
    <row r="5" spans="1:8" x14ac:dyDescent="0.35">
      <c r="A5" t="s">
        <v>91</v>
      </c>
      <c r="B5">
        <f>COUNTIF('Customer Data'!$F$2:$F$51,A5)</f>
        <v>14</v>
      </c>
      <c r="C5">
        <f>COUNTIFS('Customer Data'!$F$2:$F$51,A5,'Customer Data'!$P$2:$P$51,"Active")</f>
        <v>14</v>
      </c>
      <c r="D5" s="7">
        <f>SUMIF('Customer Data'!$F$2:$F$51,A5,'Customer Data'!$N$2:$N$51)</f>
        <v>3030</v>
      </c>
    </row>
    <row r="6" spans="1:8" x14ac:dyDescent="0.35">
      <c r="A6" t="s">
        <v>70</v>
      </c>
      <c r="B6">
        <f>COUNTIF('Customer Data'!$F$2:$F$51,A6)</f>
        <v>9</v>
      </c>
      <c r="C6">
        <f>COUNTIFS('Customer Data'!$F$2:$F$51,A6,'Customer Data'!$P$2:$P$51,"Active")</f>
        <v>9</v>
      </c>
      <c r="D6" s="7">
        <f>SUMIF('Customer Data'!$F$2:$F$51,A6,'Customer Data'!$N$2:$N$51)</f>
        <v>2686</v>
      </c>
    </row>
    <row r="7" spans="1:8" x14ac:dyDescent="0.35">
      <c r="A7" t="s">
        <v>56</v>
      </c>
      <c r="B7">
        <f>COUNTIF('Customer Data'!$F$2:$F$51,A7)</f>
        <v>8</v>
      </c>
      <c r="C7">
        <f>COUNTIFS('Customer Data'!$F$2:$F$51,A7,'Customer Data'!$P$2:$P$51,"Active")</f>
        <v>8</v>
      </c>
      <c r="D7" s="7">
        <f>SUMIF('Customer Data'!$F$2:$F$51,A7,'Customer Data'!$N$2:$N$51)</f>
        <v>2866</v>
      </c>
    </row>
    <row r="8" spans="1:8" x14ac:dyDescent="0.35">
      <c r="A8" t="s">
        <v>77</v>
      </c>
      <c r="B8">
        <f>COUNTIF('Customer Data'!$F$2:$F$51,A8)</f>
        <v>11</v>
      </c>
      <c r="C8">
        <f>COUNTIFS('Customer Data'!$F$2:$F$51,A8,'Customer Data'!$P$2:$P$51,"Active")</f>
        <v>11</v>
      </c>
      <c r="D8" s="7">
        <f>SUMIF('Customer Data'!$F$2:$F$51,A8,'Customer Data'!$N$2:$N$51)</f>
        <v>6484</v>
      </c>
    </row>
    <row r="9" spans="1:8" x14ac:dyDescent="0.35">
      <c r="A9" t="s">
        <v>64</v>
      </c>
      <c r="B9">
        <f>COUNTIF('Customer Data'!$F$2:$F$51,A9)</f>
        <v>8</v>
      </c>
      <c r="C9">
        <f>COUNTIFS('Customer Data'!$F$2:$F$51,A9,'Customer Data'!$P$2:$P$51,"Active")</f>
        <v>8</v>
      </c>
      <c r="D9" s="7">
        <f>SUMIF('Customer Data'!$F$2:$F$51,A9,'Customer Data'!$N$2:$N$51)</f>
        <v>7069</v>
      </c>
    </row>
    <row r="12" spans="1:8" ht="20" customHeight="1" x14ac:dyDescent="0.35">
      <c r="A12" s="39" t="s">
        <v>217</v>
      </c>
      <c r="B12" s="40"/>
      <c r="C12" s="40"/>
      <c r="D12" s="40"/>
    </row>
    <row r="13" spans="1:8" x14ac:dyDescent="0.35">
      <c r="A13" s="26" t="s">
        <v>218</v>
      </c>
      <c r="B13" s="26" t="s">
        <v>194</v>
      </c>
      <c r="C13" s="26" t="s">
        <v>219</v>
      </c>
      <c r="D13" s="26" t="s">
        <v>220</v>
      </c>
    </row>
    <row r="14" spans="1:8" x14ac:dyDescent="0.35">
      <c r="A14" t="s">
        <v>58</v>
      </c>
      <c r="B14">
        <f>COUNTIF('Customer Data'!$H$2:$H$51,A14)</f>
        <v>38</v>
      </c>
      <c r="C14" s="7">
        <f>SUMIF('Customer Data'!$H$2:$H$51,A14,'Customer Data'!$S$2:$S$51)</f>
        <v>0</v>
      </c>
      <c r="D14" s="9">
        <f>IF(SUM($B$14:$B$15)=0,"",B14/SUM($B$14:$B$15))</f>
        <v>0.76</v>
      </c>
    </row>
    <row r="15" spans="1:8" x14ac:dyDescent="0.35">
      <c r="A15" t="s">
        <v>78</v>
      </c>
      <c r="B15">
        <f>COUNTIF('Customer Data'!$H$2:$H$51,A15)</f>
        <v>12</v>
      </c>
      <c r="C15" s="7">
        <f>SUMIF('Customer Data'!$H$2:$H$51,A15,'Customer Data'!$S$2:$S$51)</f>
        <v>97056</v>
      </c>
      <c r="D15" s="9">
        <f>IF(SUM($B$14:$B$15)=0,"",B15/SUM($B$14:$B$15))</f>
        <v>0.24</v>
      </c>
    </row>
    <row r="18" spans="1:4" ht="20" customHeight="1" x14ac:dyDescent="0.35">
      <c r="A18" s="39" t="s">
        <v>221</v>
      </c>
      <c r="B18" s="40"/>
      <c r="C18" s="40"/>
      <c r="D18" s="40"/>
    </row>
    <row r="19" spans="1:4" x14ac:dyDescent="0.35">
      <c r="A19" s="26" t="s">
        <v>222</v>
      </c>
      <c r="B19" s="26" t="s">
        <v>194</v>
      </c>
      <c r="C19" s="26" t="s">
        <v>4</v>
      </c>
      <c r="D19" s="26" t="s">
        <v>199</v>
      </c>
    </row>
    <row r="20" spans="1:4" x14ac:dyDescent="0.35">
      <c r="A20" t="s">
        <v>71</v>
      </c>
      <c r="B20">
        <f>COUNTIF('Customer Data'!$G$2:$G$51,A20)</f>
        <v>23</v>
      </c>
      <c r="C20">
        <f>COUNTIFS('Customer Data'!$G$2:$G$51,A20,'Customer Data'!$P$2:$P$51,"Active")</f>
        <v>23</v>
      </c>
      <c r="D20" s="7">
        <f>IF(B20=0,"",SUMIF('Customer Data'!$G$2:$G$51,A20,'Customer Data'!$N$2:$N$51)/B20)</f>
        <v>248.52173913043478</v>
      </c>
    </row>
    <row r="21" spans="1:4" x14ac:dyDescent="0.35">
      <c r="A21" t="s">
        <v>57</v>
      </c>
      <c r="B21">
        <f>COUNTIF('Customer Data'!$G$2:$G$51,A21)</f>
        <v>19</v>
      </c>
      <c r="C21">
        <f>COUNTIFS('Customer Data'!$G$2:$G$51,A21,'Customer Data'!$P$2:$P$51,"Active")</f>
        <v>19</v>
      </c>
      <c r="D21" s="7">
        <f>IF(B21=0,"",SUMIF('Customer Data'!$G$2:$G$51,A21,'Customer Data'!$N$2:$N$51)/B21)</f>
        <v>492.10526315789474</v>
      </c>
    </row>
    <row r="22" spans="1:4" x14ac:dyDescent="0.35">
      <c r="A22" t="s">
        <v>64</v>
      </c>
      <c r="B22">
        <f>COUNTIF('Customer Data'!$G$2:$G$51,A22)</f>
        <v>8</v>
      </c>
      <c r="C22">
        <f>COUNTIFS('Customer Data'!$G$2:$G$51,A22,'Customer Data'!$P$2:$P$51,"Active")</f>
        <v>8</v>
      </c>
      <c r="D22" s="7">
        <f>IF(B22=0,"",SUMIF('Customer Data'!$G$2:$G$51,A22,'Customer Data'!$N$2:$N$51)/B22)</f>
        <v>883.625</v>
      </c>
    </row>
  </sheetData>
  <mergeCells count="4">
    <mergeCell ref="A12:D12"/>
    <mergeCell ref="A18:D18"/>
    <mergeCell ref="A3:D3"/>
    <mergeCell ref="A1:H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showGridLines="0" workbookViewId="0">
      <selection sqref="A1:J1"/>
    </sheetView>
  </sheetViews>
  <sheetFormatPr defaultRowHeight="14.5" x14ac:dyDescent="0.35"/>
  <cols>
    <col min="1" max="1" width="18" customWidth="1"/>
    <col min="2" max="2" width="21.54296875" bestFit="1" customWidth="1"/>
    <col min="3" max="3" width="12" customWidth="1"/>
    <col min="4" max="4" width="20.36328125" bestFit="1" customWidth="1"/>
    <col min="5" max="5" width="12" customWidth="1"/>
    <col min="6" max="6" width="16.81640625" bestFit="1" customWidth="1"/>
    <col min="7" max="7" width="12" customWidth="1"/>
    <col min="8" max="8" width="32.26953125" bestFit="1" customWidth="1"/>
    <col min="9" max="9" width="12" customWidth="1"/>
    <col min="10" max="10" width="16" customWidth="1"/>
  </cols>
  <sheetData>
    <row r="1" spans="1:10" ht="21" x14ac:dyDescent="0.5">
      <c r="A1" s="48" t="s">
        <v>0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s="67" customFormat="1" ht="40.5" customHeight="1" x14ac:dyDescent="0.35">
      <c r="A2" s="27" t="s">
        <v>1</v>
      </c>
      <c r="B2" s="42" t="s">
        <v>2</v>
      </c>
      <c r="C2" s="42"/>
      <c r="D2" s="42"/>
      <c r="E2" s="42"/>
      <c r="F2" s="42"/>
      <c r="G2" s="42"/>
      <c r="H2" s="42"/>
      <c r="I2" s="42"/>
    </row>
    <row r="3" spans="1:10" x14ac:dyDescent="0.35">
      <c r="A3" s="28"/>
      <c r="B3" s="28"/>
      <c r="C3" s="28"/>
      <c r="D3" s="28"/>
      <c r="E3" s="28"/>
      <c r="F3" s="28"/>
      <c r="G3" s="28"/>
      <c r="H3" s="28"/>
      <c r="I3" s="28"/>
    </row>
    <row r="4" spans="1:10" x14ac:dyDescent="0.35">
      <c r="A4" s="28"/>
      <c r="B4" s="29" t="s">
        <v>3</v>
      </c>
      <c r="C4" s="28"/>
      <c r="D4" s="29" t="s">
        <v>4</v>
      </c>
      <c r="E4" s="28"/>
      <c r="F4" s="29" t="s">
        <v>5</v>
      </c>
      <c r="G4" s="28"/>
      <c r="H4" s="29" t="s">
        <v>6</v>
      </c>
      <c r="I4" s="28"/>
    </row>
    <row r="5" spans="1:10" x14ac:dyDescent="0.35">
      <c r="A5" s="28"/>
      <c r="B5" s="50">
        <f>COUNTA('Customer Data'!A:A)-1</f>
        <v>50</v>
      </c>
      <c r="C5" s="47"/>
      <c r="D5" s="50">
        <f>COUNTIF('Customer Data'!P:P,"Active")</f>
        <v>50</v>
      </c>
      <c r="E5" s="47"/>
      <c r="F5" s="46">
        <f>'Monthly Waterfall'!M15</f>
        <v>19852</v>
      </c>
      <c r="G5" s="47"/>
      <c r="H5" s="46">
        <f>F5*12</f>
        <v>238224</v>
      </c>
      <c r="I5" s="47"/>
    </row>
    <row r="6" spans="1:10" x14ac:dyDescent="0.35">
      <c r="A6" s="28"/>
      <c r="B6" s="47"/>
      <c r="C6" s="47"/>
      <c r="D6" s="47"/>
      <c r="E6" s="47"/>
      <c r="F6" s="47"/>
      <c r="G6" s="47"/>
      <c r="H6" s="47"/>
      <c r="I6" s="47"/>
    </row>
    <row r="7" spans="1:10" x14ac:dyDescent="0.35">
      <c r="A7" s="28"/>
      <c r="B7" s="28"/>
      <c r="C7" s="28"/>
      <c r="D7" s="28"/>
      <c r="E7" s="28"/>
      <c r="F7" s="28"/>
      <c r="G7" s="28"/>
      <c r="H7" s="28"/>
      <c r="I7" s="28"/>
    </row>
    <row r="8" spans="1:10" x14ac:dyDescent="0.35">
      <c r="A8" s="28"/>
      <c r="B8" s="29" t="s">
        <v>7</v>
      </c>
      <c r="C8" s="28"/>
      <c r="D8" s="29" t="s">
        <v>8</v>
      </c>
      <c r="E8" s="28"/>
      <c r="F8" s="29" t="s">
        <v>9</v>
      </c>
      <c r="G8" s="28"/>
      <c r="H8" s="29" t="s">
        <v>10</v>
      </c>
      <c r="I8" s="28"/>
    </row>
    <row r="9" spans="1:10" x14ac:dyDescent="0.35">
      <c r="A9" s="28"/>
      <c r="B9" s="46">
        <f>SUM('Monthly Waterfall'!B11:M11)</f>
        <v>17450</v>
      </c>
      <c r="C9" s="47"/>
      <c r="D9" s="46">
        <f>SUM('Monthly Waterfall'!B12:M12)</f>
        <v>4685</v>
      </c>
      <c r="E9" s="47"/>
      <c r="F9" s="46">
        <f>SUM('Monthly Waterfall'!B13:M13)</f>
        <v>2283</v>
      </c>
      <c r="G9" s="47"/>
      <c r="H9" s="46">
        <f>SUM('Monthly Waterfall'!B14:M14)</f>
        <v>19852</v>
      </c>
      <c r="I9" s="47"/>
    </row>
    <row r="10" spans="1:10" x14ac:dyDescent="0.35">
      <c r="A10" s="28"/>
      <c r="B10" s="47"/>
      <c r="C10" s="47"/>
      <c r="D10" s="47"/>
      <c r="E10" s="47"/>
      <c r="F10" s="47"/>
      <c r="G10" s="47"/>
      <c r="H10" s="47"/>
      <c r="I10" s="47"/>
    </row>
    <row r="11" spans="1:10" s="13" customFormat="1" x14ac:dyDescent="0.35">
      <c r="A11" s="60"/>
      <c r="B11" s="61"/>
      <c r="C11" s="61"/>
      <c r="D11" s="61"/>
      <c r="E11" s="61"/>
      <c r="F11" s="61"/>
      <c r="G11" s="61"/>
      <c r="H11" s="61"/>
      <c r="I11" s="61"/>
    </row>
    <row r="12" spans="1:10" x14ac:dyDescent="0.35">
      <c r="A12" s="28"/>
      <c r="B12" s="29" t="s">
        <v>11</v>
      </c>
      <c r="C12" s="28"/>
      <c r="D12" s="29" t="s">
        <v>12</v>
      </c>
      <c r="E12" s="28"/>
      <c r="F12" s="29" t="s">
        <v>13</v>
      </c>
      <c r="G12" s="28"/>
      <c r="H12" s="29" t="s">
        <v>14</v>
      </c>
      <c r="I12" s="28"/>
    </row>
    <row r="13" spans="1:10" x14ac:dyDescent="0.35">
      <c r="A13" s="28"/>
      <c r="B13" s="49">
        <f>Assumptions!B5</f>
        <v>0.8</v>
      </c>
      <c r="C13" s="47"/>
      <c r="D13" s="46">
        <f>IF(D5=0,"",F5/D5)</f>
        <v>397.04</v>
      </c>
      <c r="E13" s="47"/>
      <c r="F13" s="46">
        <f>SUM(Assumptions!C4:C15)/SUM('Monthly Waterfall'!B6:M6)</f>
        <v>10822.44</v>
      </c>
      <c r="G13" s="47"/>
      <c r="H13" s="51">
        <f>IF(OR(F13=0,D13=0,B13=0),"",F13/(D13*B13))</f>
        <v>34.072259721942366</v>
      </c>
      <c r="I13" s="47"/>
    </row>
    <row r="14" spans="1:10" x14ac:dyDescent="0.35">
      <c r="A14" s="28"/>
      <c r="B14" s="47"/>
      <c r="C14" s="47"/>
      <c r="D14" s="47"/>
      <c r="E14" s="47"/>
      <c r="F14" s="47"/>
      <c r="G14" s="47"/>
      <c r="H14" s="47"/>
      <c r="I14" s="47"/>
    </row>
    <row r="15" spans="1:10" x14ac:dyDescent="0.35">
      <c r="A15" s="28"/>
      <c r="B15" s="28"/>
      <c r="C15" s="28"/>
      <c r="D15" s="28"/>
      <c r="E15" s="28"/>
      <c r="F15" s="28"/>
      <c r="G15" s="28"/>
      <c r="H15" s="28"/>
      <c r="I15" s="28"/>
    </row>
    <row r="16" spans="1:10" x14ac:dyDescent="0.35">
      <c r="A16" s="28"/>
      <c r="B16" s="29" t="s">
        <v>15</v>
      </c>
      <c r="C16" s="28"/>
      <c r="D16" s="29" t="s">
        <v>16</v>
      </c>
      <c r="E16" s="28"/>
      <c r="F16" s="29" t="s">
        <v>17</v>
      </c>
      <c r="G16" s="28"/>
      <c r="H16" s="29" t="s">
        <v>18</v>
      </c>
      <c r="I16" s="28"/>
    </row>
    <row r="17" spans="1:10" x14ac:dyDescent="0.35">
      <c r="A17" s="28"/>
      <c r="B17" s="49">
        <f>AVERAGE('Monthly Waterfall'!C17:M17)</f>
        <v>2.2879675864547065E-2</v>
      </c>
      <c r="C17" s="47"/>
      <c r="D17" s="46">
        <f>IF(B17=0,"",D13*B13/B17)</f>
        <v>13882.71415558745</v>
      </c>
      <c r="E17" s="47"/>
      <c r="F17" s="52">
        <f>IF(F13=0,"",D17/F13)</f>
        <v>1.282771182430898</v>
      </c>
      <c r="G17" s="47"/>
      <c r="H17" s="49">
        <f>AVERAGE('Monthly Waterfall'!C19:M19)</f>
        <v>1.0186140371154864</v>
      </c>
      <c r="I17" s="47"/>
    </row>
    <row r="18" spans="1:10" x14ac:dyDescent="0.35">
      <c r="A18" s="28"/>
      <c r="B18" s="47"/>
      <c r="C18" s="47"/>
      <c r="D18" s="47"/>
      <c r="E18" s="47"/>
      <c r="F18" s="47"/>
      <c r="G18" s="47"/>
      <c r="H18" s="47"/>
      <c r="I18" s="47"/>
    </row>
    <row r="19" spans="1:10" s="13" customFormat="1" x14ac:dyDescent="0.35">
      <c r="A19" s="60"/>
      <c r="B19" s="61"/>
      <c r="C19" s="61"/>
      <c r="D19" s="61"/>
      <c r="E19" s="61"/>
      <c r="F19" s="61"/>
      <c r="G19" s="61"/>
      <c r="H19" s="61"/>
      <c r="I19" s="61"/>
    </row>
    <row r="20" spans="1:10" x14ac:dyDescent="0.35">
      <c r="A20" s="28"/>
      <c r="B20" s="62" t="s">
        <v>248</v>
      </c>
      <c r="C20" s="61"/>
      <c r="D20" s="62" t="s">
        <v>249</v>
      </c>
      <c r="E20" s="61"/>
      <c r="F20" s="62" t="s">
        <v>250</v>
      </c>
      <c r="G20" s="61"/>
      <c r="H20" s="61"/>
      <c r="I20" s="61"/>
    </row>
    <row r="21" spans="1:10" x14ac:dyDescent="0.35">
      <c r="A21" s="28"/>
      <c r="B21" s="66">
        <f>'Monthly Waterfall'!M19</f>
        <v>0.98835009459324907</v>
      </c>
      <c r="C21" s="66"/>
      <c r="D21" s="66">
        <f>MAX('Monthly Waterfall'!B19:M19)</f>
        <v>1.0937118437118436</v>
      </c>
      <c r="E21" s="66"/>
      <c r="F21" s="65">
        <f>COUNTIF('Monthly Waterfall'!B19:M19,"&gt;=1")</f>
        <v>7</v>
      </c>
      <c r="G21" s="65"/>
      <c r="H21" s="61"/>
      <c r="I21" s="61"/>
    </row>
    <row r="22" spans="1:10" x14ac:dyDescent="0.35">
      <c r="B22" s="66"/>
      <c r="C22" s="66"/>
      <c r="D22" s="66"/>
      <c r="E22" s="66"/>
      <c r="F22" s="65"/>
      <c r="G22" s="65"/>
    </row>
    <row r="24" spans="1:10" ht="20" customHeight="1" x14ac:dyDescent="0.35">
      <c r="A24" s="44" t="s">
        <v>19</v>
      </c>
      <c r="B24" s="45"/>
      <c r="C24" s="45"/>
      <c r="D24" s="45"/>
      <c r="E24" s="45"/>
      <c r="F24" s="45"/>
      <c r="G24" s="45"/>
      <c r="H24" s="45"/>
      <c r="I24" s="45"/>
      <c r="J24" s="45"/>
    </row>
    <row r="25" spans="1:10" ht="58" customHeight="1" x14ac:dyDescent="0.35">
      <c r="A25" s="43" t="s">
        <v>20</v>
      </c>
      <c r="B25" s="43"/>
      <c r="C25" s="43"/>
      <c r="D25" s="43"/>
    </row>
    <row r="26" spans="1:10" ht="72.5" customHeight="1" x14ac:dyDescent="0.35">
      <c r="A26" s="41" t="s">
        <v>21</v>
      </c>
      <c r="B26" s="41"/>
      <c r="C26" s="41"/>
      <c r="D26" s="41"/>
    </row>
    <row r="27" spans="1:10" ht="43.5" customHeight="1" x14ac:dyDescent="0.35">
      <c r="A27" s="41" t="s">
        <v>22</v>
      </c>
      <c r="B27" s="41"/>
      <c r="C27" s="41"/>
      <c r="D27" s="41"/>
    </row>
    <row r="28" spans="1:10" ht="58" customHeight="1" x14ac:dyDescent="0.35">
      <c r="A28" s="41" t="s">
        <v>23</v>
      </c>
      <c r="B28" s="41"/>
      <c r="C28" s="41"/>
      <c r="D28" s="41"/>
    </row>
    <row r="29" spans="1:10" ht="72.5" customHeight="1" x14ac:dyDescent="0.35">
      <c r="A29" s="41" t="s">
        <v>24</v>
      </c>
      <c r="B29" s="41"/>
      <c r="C29" s="41"/>
      <c r="D29" s="41"/>
    </row>
    <row r="30" spans="1:10" ht="101.5" customHeight="1" x14ac:dyDescent="0.35">
      <c r="A30" s="41" t="s">
        <v>25</v>
      </c>
      <c r="B30" s="41"/>
      <c r="C30" s="41"/>
      <c r="D30" s="41"/>
    </row>
    <row r="41" spans="8:8" x14ac:dyDescent="0.35">
      <c r="H41" s="30" t="s">
        <v>26</v>
      </c>
    </row>
  </sheetData>
  <mergeCells count="28">
    <mergeCell ref="F21:G22"/>
    <mergeCell ref="A1:J1"/>
    <mergeCell ref="B13:C14"/>
    <mergeCell ref="D13:E14"/>
    <mergeCell ref="H17:I18"/>
    <mergeCell ref="B17:C18"/>
    <mergeCell ref="D17:E18"/>
    <mergeCell ref="B5:C6"/>
    <mergeCell ref="H13:I14"/>
    <mergeCell ref="F5:G6"/>
    <mergeCell ref="D5:E6"/>
    <mergeCell ref="F17:G18"/>
    <mergeCell ref="A30:D30"/>
    <mergeCell ref="B2:I2"/>
    <mergeCell ref="A25:D25"/>
    <mergeCell ref="A26:D26"/>
    <mergeCell ref="A27:D27"/>
    <mergeCell ref="A28:D28"/>
    <mergeCell ref="A29:D29"/>
    <mergeCell ref="A24:J24"/>
    <mergeCell ref="H5:I6"/>
    <mergeCell ref="F13:G14"/>
    <mergeCell ref="B9:C10"/>
    <mergeCell ref="D9:E10"/>
    <mergeCell ref="H9:I10"/>
    <mergeCell ref="F9:G10"/>
    <mergeCell ref="B21:C22"/>
    <mergeCell ref="D21:E22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"/>
  <sheetViews>
    <sheetView showGridLines="0" workbookViewId="0">
      <selection sqref="A1:H1"/>
    </sheetView>
  </sheetViews>
  <sheetFormatPr defaultRowHeight="14.5" x14ac:dyDescent="0.35"/>
  <cols>
    <col min="1" max="1" width="20.453125" bestFit="1" customWidth="1"/>
    <col min="2" max="2" width="12.453125" customWidth="1"/>
    <col min="3" max="4" width="14.08984375" customWidth="1"/>
    <col min="5" max="5" width="10" customWidth="1"/>
    <col min="6" max="6" width="14.453125" customWidth="1"/>
    <col min="7" max="7" width="11.1796875" customWidth="1"/>
    <col min="8" max="8" width="15.6328125" customWidth="1"/>
  </cols>
  <sheetData>
    <row r="1" spans="1:8" ht="21" x14ac:dyDescent="0.5">
      <c r="A1" s="54" t="s">
        <v>235</v>
      </c>
      <c r="B1" s="37"/>
      <c r="C1" s="37"/>
      <c r="D1" s="37"/>
      <c r="E1" s="37"/>
      <c r="F1" s="37"/>
      <c r="G1" s="37"/>
      <c r="H1" s="37"/>
    </row>
    <row r="3" spans="1:8" x14ac:dyDescent="0.35">
      <c r="A3" s="33" t="s">
        <v>236</v>
      </c>
      <c r="B3" s="55" t="s">
        <v>237</v>
      </c>
      <c r="C3" s="55"/>
      <c r="D3" s="55"/>
      <c r="E3" s="55"/>
      <c r="F3" s="55"/>
      <c r="G3" s="55"/>
      <c r="H3" s="55"/>
    </row>
    <row r="4" spans="1:8" x14ac:dyDescent="0.35">
      <c r="A4" s="32"/>
    </row>
    <row r="5" spans="1:8" x14ac:dyDescent="0.35">
      <c r="A5" s="31" t="s">
        <v>238</v>
      </c>
      <c r="B5" s="53" t="s">
        <v>239</v>
      </c>
      <c r="C5" s="53"/>
      <c r="D5" s="53"/>
      <c r="E5" s="53"/>
      <c r="F5" s="53"/>
      <c r="G5" s="53"/>
      <c r="H5" s="53"/>
    </row>
    <row r="6" spans="1:8" x14ac:dyDescent="0.35">
      <c r="A6" s="32"/>
    </row>
    <row r="7" spans="1:8" x14ac:dyDescent="0.35">
      <c r="A7" s="31" t="s">
        <v>240</v>
      </c>
      <c r="B7" s="53" t="s">
        <v>241</v>
      </c>
      <c r="C7" s="53"/>
      <c r="D7" s="53"/>
      <c r="E7" s="53"/>
      <c r="F7" s="53"/>
      <c r="G7" s="53"/>
      <c r="H7" s="53"/>
    </row>
    <row r="8" spans="1:8" x14ac:dyDescent="0.35">
      <c r="A8" s="32"/>
    </row>
    <row r="9" spans="1:8" x14ac:dyDescent="0.35">
      <c r="A9" s="31" t="s">
        <v>242</v>
      </c>
      <c r="B9" s="53" t="s">
        <v>243</v>
      </c>
      <c r="C9" s="53"/>
      <c r="D9" s="53"/>
      <c r="E9" s="53"/>
      <c r="F9" s="53"/>
      <c r="G9" s="53"/>
      <c r="H9" s="53"/>
    </row>
    <row r="10" spans="1:8" x14ac:dyDescent="0.35">
      <c r="A10" s="32"/>
    </row>
    <row r="11" spans="1:8" x14ac:dyDescent="0.35">
      <c r="A11" s="31" t="s">
        <v>244</v>
      </c>
      <c r="B11" s="53" t="s">
        <v>245</v>
      </c>
      <c r="C11" s="53"/>
      <c r="D11" s="53"/>
      <c r="E11" s="53"/>
      <c r="F11" s="53"/>
      <c r="G11" s="53"/>
      <c r="H11" s="53"/>
    </row>
    <row r="12" spans="1:8" x14ac:dyDescent="0.35">
      <c r="A12" s="32"/>
    </row>
    <row r="13" spans="1:8" x14ac:dyDescent="0.35">
      <c r="A13" s="31" t="s">
        <v>246</v>
      </c>
      <c r="B13" s="53" t="s">
        <v>247</v>
      </c>
      <c r="C13" s="53"/>
      <c r="D13" s="53"/>
      <c r="E13" s="53"/>
      <c r="F13" s="53"/>
      <c r="G13" s="53"/>
      <c r="H13" s="53"/>
    </row>
    <row r="14" spans="1:8" x14ac:dyDescent="0.35">
      <c r="A14" s="32"/>
    </row>
  </sheetData>
  <mergeCells count="7">
    <mergeCell ref="B11:H11"/>
    <mergeCell ref="B13:H13"/>
    <mergeCell ref="A1:H1"/>
    <mergeCell ref="B3:H3"/>
    <mergeCell ref="B5:H5"/>
    <mergeCell ref="B7:H7"/>
    <mergeCell ref="B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Assumptions</vt:lpstr>
      <vt:lpstr>Customer Data</vt:lpstr>
      <vt:lpstr>Monthly Waterfall</vt:lpstr>
      <vt:lpstr>Cohort Analysis</vt:lpstr>
      <vt:lpstr>Revenue Recognition</vt:lpstr>
      <vt:lpstr>Segmentation</vt:lpstr>
      <vt:lpstr>Dashboard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Aisha Issa</cp:lastModifiedBy>
  <dcterms:created xsi:type="dcterms:W3CDTF">2026-03-24T07:15:46Z</dcterms:created>
  <dcterms:modified xsi:type="dcterms:W3CDTF">2026-03-24T18:22:32Z</dcterms:modified>
</cp:coreProperties>
</file>